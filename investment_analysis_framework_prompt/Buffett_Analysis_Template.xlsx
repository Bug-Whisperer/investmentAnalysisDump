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1. Inputs" sheetId="2" state="visible" r:id="rId4"/>
    <sheet name="2. Income Statement" sheetId="3" state="visible" r:id="rId5"/>
    <sheet name="3. Balance Sheet" sheetId="4" state="visible" r:id="rId6"/>
    <sheet name="4. Cash Flow" sheetId="5" state="visible" r:id="rId7"/>
    <sheet name="5. Returns &amp; DuPont" sheetId="6" state="visible" r:id="rId8"/>
    <sheet name="6. Scalability" sheetId="7" state="visible" r:id="rId9"/>
    <sheet name="7. Dollar Test" sheetId="8" state="visible" r:id="rId10"/>
    <sheet name="8. Valuation Multiples" sheetId="9" state="visible" r:id="rId11"/>
    <sheet name="9. DCF Intrinsic Value" sheetId="10" state="visible" r:id="rId12"/>
    <sheet name="10. Reverse DCF" sheetId="11" state="visible" r:id="rId13"/>
    <sheet name="11. PB Scenario Returns" sheetId="12" state="visible" r:id="rId14"/>
    <sheet name="12. Buy Zones" sheetId="13" state="visible" r:id="rId15"/>
    <sheet name="13. Asymmetry Check" sheetId="14" state="visible" r:id="rId16"/>
    <sheet name="14. Bank BV Compounding" sheetId="15" state="visible" r:id="rId17"/>
    <sheet name="15. Excess Return Model" sheetId="16" state="visible" r:id="rId18"/>
    <sheet name="16. Owner Earnings" sheetId="17" state="visible" r:id="rId19"/>
    <sheet name="17. Final Scorecard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<sst xmlns="http://schemas.openxmlformats.org/spreadsheetml/2006/main" count="632" uniqueCount="432">
  <si>
    <t xml:space="preserve">═══════════════════════════════════════════════════════════</t>
  </si>
  <si>
    <t xml:space="preserve">BUFFETT ANALYSIS WORKBOOK — INSTRUCTIONS</t>
  </si>
  <si>
    <t xml:space="preserve">HOW TO USE THIS WORKBOOK:</t>
  </si>
  <si>
    <t xml:space="preserve">1. START WITH SHEET '1. Inputs':</t>
  </si>
  <si>
    <t xml:space="preserve">   - Fill in Company Name, Ticker, CMP, Shares Outstanding</t>
  </si>
  <si>
    <t xml:space="preserve">   - Set Mode to 'STANDARD' or 'BANK'</t>
  </si>
  <si>
    <t xml:space="preserve">   - Enter 10 years of financial data (oldest → latest, left → right)</t>
  </si>
  <si>
    <t xml:space="preserve">   - Yellow cells = YOUR INPUTS (blue font)</t>
  </si>
  <si>
    <t xml:space="preserve">   - Green cells = Auto-calculated (pulls from other sheets)</t>
  </si>
  <si>
    <t xml:space="preserve">2. COMPUTED SHEETS (2-6, 16) AUTO-CALCULATE:</t>
  </si>
  <si>
    <t xml:space="preserve">   - Income Statement metrics, margins, growth rates</t>
  </si>
  <si>
    <t xml:space="preserve">   - Balance Sheet ratios</t>
  </si>
  <si>
    <t xml:space="preserve">   - Cash Flow &amp; FCF metrics</t>
  </si>
  <si>
    <t xml:space="preserve">   - Returns (ROE, ROA, ROIC) &amp; DuPont decomposition</t>
  </si>
  <si>
    <t xml:space="preserve">   - Scalability (incremental margins)</t>
  </si>
  <si>
    <t xml:space="preserve">   - Owner Earnings</t>
  </si>
  <si>
    <t xml:space="preserve">3. VALUATION SHEETS (8-15) NEED SOME INPUTS:</t>
  </si>
  <si>
    <t xml:space="preserve">   - Sheet 9 (DCF): Enter Owner Earnings &amp; growth assumptions</t>
  </si>
  <si>
    <t xml:space="preserve">   - Sheet 10 (Reverse DCF): Terminal PE scenarios</t>
  </si>
  <si>
    <t xml:space="preserve">   - Sheet 11 (P/B Scenarios): ROE &amp; retention assumptions</t>
  </si>
  <si>
    <t xml:space="preserve">   - Sheet 12 (Buy Zones): Enter base IV from DCF</t>
  </si>
  <si>
    <t xml:space="preserve">   - Sheet 13 (Asymmetry): Enter downside/upside scenarios</t>
  </si>
  <si>
    <t xml:space="preserve">   - Sheet 14-15 (Bank Mode): BV compounding &amp; excess return</t>
  </si>
  <si>
    <t xml:space="preserve">4. SHEET 17 (Scorecard): Manual scoring with auto-verdict</t>
  </si>
  <si>
    <t xml:space="preserve">COLOR CODING:</t>
  </si>
  <si>
    <t xml:space="preserve">   Blue font on yellow = Input cells (you fill these)</t>
  </si>
  <si>
    <t xml:space="preserve">   Black font on green = Calculated (formulas)</t>
  </si>
  <si>
    <t xml:space="preserve">   Green font = Cross-sheet reference</t>
  </si>
  <si>
    <t xml:space="preserve">DATA SOURCE: Screener.in (consolidated view)</t>
  </si>
  <si>
    <t xml:space="preserve">   URL: https://www.screener.in/company/[TICKER]/consolidated/</t>
  </si>
  <si>
    <t xml:space="preserve">TIPS:</t>
  </si>
  <si>
    <t xml:space="preserve">   - CapEx should be entered as NEGATIVE numbers</t>
  </si>
  <si>
    <t xml:space="preserve">   - Dividends Paid should be entered as NEGATIVE numbers</t>
  </si>
  <si>
    <t xml:space="preserve">   - For banks, fill in the BANK MODE sections in Inputs</t>
  </si>
  <si>
    <t xml:space="preserve">   - All % inputs are entered as whole numbers (e.g., 15 for 15%)</t>
  </si>
  <si>
    <t xml:space="preserve">     EXCEPT in computed sheets where formulas output decimals</t>
  </si>
  <si>
    <t xml:space="preserve">BUFFETT ANALYSIS — RAW DATA INPUTS</t>
  </si>
  <si>
    <t xml:space="preserve">Company Name:</t>
  </si>
  <si>
    <t xml:space="preserve">Ticker / BSE Code:</t>
  </si>
  <si>
    <t xml:space="preserve">Current Market Price (CMP):</t>
  </si>
  <si>
    <t xml:space="preserve">Shares Outstanding (Diluted, Cr):</t>
  </si>
  <si>
    <t xml:space="preserve">Sector:</t>
  </si>
  <si>
    <t xml:space="preserve">Mode (STANDARD / BANK):</t>
  </si>
  <si>
    <t xml:space="preserve">STANDARD</t>
  </si>
  <si>
    <t xml:space="preserve">INCOME STATEMENT DATA</t>
  </si>
  <si>
    <t xml:space="preserve">Metric</t>
  </si>
  <si>
    <t xml:space="preserve">FY1 (Oldest)</t>
  </si>
  <si>
    <t xml:space="preserve">FY2</t>
  </si>
  <si>
    <t xml:space="preserve">FY3</t>
  </si>
  <si>
    <t xml:space="preserve">FY4</t>
  </si>
  <si>
    <t xml:space="preserve">FY5</t>
  </si>
  <si>
    <t xml:space="preserve">FY6</t>
  </si>
  <si>
    <t xml:space="preserve">FY7</t>
  </si>
  <si>
    <t xml:space="preserve">FY8</t>
  </si>
  <si>
    <t xml:space="preserve">FY9</t>
  </si>
  <si>
    <t xml:space="preserve">FY10 (Latest)</t>
  </si>
  <si>
    <t xml:space="preserve">TTM</t>
  </si>
  <si>
    <t xml:space="preserve">Year Label (e.g. Mar 2016)</t>
  </si>
  <si>
    <t xml:space="preserve">Revenue / Total Income (₹ Cr)</t>
  </si>
  <si>
    <t xml:space="preserve">Operating Profit / EBITDA (₹ Cr)</t>
  </si>
  <si>
    <t xml:space="preserve">Depreciation &amp; Amortisation (₹ Cr)</t>
  </si>
  <si>
    <t xml:space="preserve">Interest Expense (₹ Cr)</t>
  </si>
  <si>
    <t xml:space="preserve">Profit Before Tax (₹ Cr)</t>
  </si>
  <si>
    <t xml:space="preserve">Tax (₹ Cr)</t>
  </si>
  <si>
    <t xml:space="preserve">Net Profit (₹ Cr)</t>
  </si>
  <si>
    <t xml:space="preserve">EPS (Diluted, ₹)</t>
  </si>
  <si>
    <t xml:space="preserve">Dividend Per Share (₹)</t>
  </si>
  <si>
    <t xml:space="preserve">--- BANK MODE ONLY ---</t>
  </si>
  <si>
    <t xml:space="preserve">Interest Income (₹ Cr)</t>
  </si>
  <si>
    <t xml:space="preserve">Net Interest Income (₹ Cr)</t>
  </si>
  <si>
    <t xml:space="preserve">Other Income (₹ Cr)</t>
  </si>
  <si>
    <t xml:space="preserve">Operating Expenses (₹ Cr)</t>
  </si>
  <si>
    <t xml:space="preserve">Provisions &amp; Contingencies (₹ Cr)</t>
  </si>
  <si>
    <t xml:space="preserve">NIM (%)</t>
  </si>
  <si>
    <t xml:space="preserve">BALANCE SHEET DATA</t>
  </si>
  <si>
    <t xml:space="preserve">Total Assets (₹ Cr)</t>
  </si>
  <si>
    <t xml:space="preserve">Total Liabilities (₹ Cr)</t>
  </si>
  <si>
    <t xml:space="preserve">Shareholders' Equity (₹ Cr)</t>
  </si>
  <si>
    <t xml:space="preserve">Total Debt / Borrowings (₹ Cr)</t>
  </si>
  <si>
    <t xml:space="preserve">Cash &amp; Equivalents (₹ Cr)</t>
  </si>
  <si>
    <t xml:space="preserve">Goodwill &amp; Intangibles (₹ Cr)</t>
  </si>
  <si>
    <t xml:space="preserve">Reserves &amp; Surplus (₹ Cr)</t>
  </si>
  <si>
    <t xml:space="preserve">Book Value Per Share (₹)</t>
  </si>
  <si>
    <t xml:space="preserve">Total Advances (₹ Cr)</t>
  </si>
  <si>
    <t xml:space="preserve">Total Deposits (₹ Cr)</t>
  </si>
  <si>
    <t xml:space="preserve">CASA Deposits (₹ Cr)</t>
  </si>
  <si>
    <t xml:space="preserve">Gross NPA (₹ Cr)</t>
  </si>
  <si>
    <t xml:space="preserve">Net NPA (₹ Cr)</t>
  </si>
  <si>
    <t xml:space="preserve">Gross NPA %</t>
  </si>
  <si>
    <t xml:space="preserve">Net NPA %</t>
  </si>
  <si>
    <t xml:space="preserve">Provision Coverage Ratio %</t>
  </si>
  <si>
    <t xml:space="preserve">CRAR / CAR (Total) %</t>
  </si>
  <si>
    <t xml:space="preserve">Tier-1 Capital %</t>
  </si>
  <si>
    <t xml:space="preserve">CASH FLOW DATA</t>
  </si>
  <si>
    <t xml:space="preserve">Cash from Operations (CFO, ₹ Cr)</t>
  </si>
  <si>
    <t xml:space="preserve">Capital Expenditures (₹ Cr)</t>
  </si>
  <si>
    <t xml:space="preserve">Cash from Investing (₹ Cr)</t>
  </si>
  <si>
    <t xml:space="preserve">Cash from Financing (₹ Cr)</t>
  </si>
  <si>
    <t xml:space="preserve">Stock-Based Compensation (₹ Cr)</t>
  </si>
  <si>
    <t xml:space="preserve">Share Buybacks (₹ Cr)</t>
  </si>
  <si>
    <t xml:space="preserve">Dividends Paid (₹ Cr)</t>
  </si>
  <si>
    <t xml:space="preserve">ADDITIONAL INPUTS &amp; ASSUMPTIONS</t>
  </si>
  <si>
    <t xml:space="preserve">Historical Median PE (5-10Y)</t>
  </si>
  <si>
    <t xml:space="preserve">Historical Median P/B (5-10Y)</t>
  </si>
  <si>
    <t xml:space="preserve">Historical Lowest PE</t>
  </si>
  <si>
    <t xml:space="preserve">Historical Lowest P/B</t>
  </si>
  <si>
    <t xml:space="preserve">Current PE (from market)</t>
  </si>
  <si>
    <t xml:space="preserve">Current P/B (from market)</t>
  </si>
  <si>
    <t xml:space="preserve">Forward PE (analyst est.)</t>
  </si>
  <si>
    <t xml:space="preserve">Analyst EPS Est. FY+1 (₹)</t>
  </si>
  <si>
    <t xml:space="preserve">Analyst EPS Est. FY+2 (₹)</t>
  </si>
  <si>
    <t xml:space="preserve">India Nominal GDP Growth Est. %</t>
  </si>
  <si>
    <t xml:space="preserve">Company 5Y EPS CAGR %</t>
  </si>
  <si>
    <t xml:space="preserve">Company 10Y EPS CAGR %</t>
  </si>
  <si>
    <t xml:space="preserve">Industry Avg EPS Growth %</t>
  </si>
  <si>
    <t xml:space="preserve">Analyst Consensus Fwd EPS CAGR %</t>
  </si>
  <si>
    <t xml:space="preserve">Cost of Equity / Hurdle Rate %</t>
  </si>
  <si>
    <t xml:space="preserve">Risk-Free Rate %</t>
  </si>
  <si>
    <t xml:space="preserve">Equity Risk Premium %</t>
  </si>
  <si>
    <t xml:space="preserve">Tangible BV Per Share (₹)</t>
  </si>
  <si>
    <t xml:space="preserve">Worst-Year EPS in Last Decade (₹)</t>
  </si>
  <si>
    <t xml:space="preserve">SECTION 2: INCOME STATEMENT ANALYSIS — Computed Metrics</t>
  </si>
  <si>
    <t xml:space="preserve">Revenue (₹ Cr)</t>
  </si>
  <si>
    <t xml:space="preserve">Revenue Growth YoY %</t>
  </si>
  <si>
    <t xml:space="preserve">N/A</t>
  </si>
  <si>
    <t xml:space="preserve">EBITDA Margin %</t>
  </si>
  <si>
    <t xml:space="preserve">Depreciation &amp; Amort. (₹ Cr)</t>
  </si>
  <si>
    <t xml:space="preserve">EBIT (₹ Cr)</t>
  </si>
  <si>
    <t xml:space="preserve">PBT (₹ Cr)</t>
  </si>
  <si>
    <t xml:space="preserve">Effective Tax Rate %</t>
  </si>
  <si>
    <t xml:space="preserve">Net Profit Margin %</t>
  </si>
  <si>
    <t xml:space="preserve">Net Profit Growth YoY %</t>
  </si>
  <si>
    <t xml:space="preserve">EPS Diluted (₹)</t>
  </si>
  <si>
    <t xml:space="preserve">EPS Growth YoY %</t>
  </si>
  <si>
    <t xml:space="preserve">DPS (₹)</t>
  </si>
  <si>
    <t xml:space="preserve">Payout Ratio %</t>
  </si>
  <si>
    <t xml:space="preserve">SECTION 3: BALANCE SHEET — Computed Metrics</t>
  </si>
  <si>
    <t xml:space="preserve">Total Assets Growth %</t>
  </si>
  <si>
    <t xml:space="preserve">Equity Growth %</t>
  </si>
  <si>
    <t xml:space="preserve">Total Debt (₹ Cr)</t>
  </si>
  <si>
    <t xml:space="preserve">Cash &amp; Equiv (₹ Cr)</t>
  </si>
  <si>
    <t xml:space="preserve">Net Debt (₹ Cr)</t>
  </si>
  <si>
    <t xml:space="preserve">Goodwill (₹ Cr)</t>
  </si>
  <si>
    <t xml:space="preserve">BVPS Growth %</t>
  </si>
  <si>
    <t xml:space="preserve">Tangible BVPS (₹)</t>
  </si>
  <si>
    <t xml:space="preserve">Debt/Equity Ratio</t>
  </si>
  <si>
    <t xml:space="preserve">Debt/EBITDA Ratio</t>
  </si>
  <si>
    <t xml:space="preserve">Net Debt/EBITDA</t>
  </si>
  <si>
    <t xml:space="preserve">SECTION 4: CASH FLOW ANALYSIS — Computed Metrics</t>
  </si>
  <si>
    <t xml:space="preserve">CFO (₹ Cr)</t>
  </si>
  <si>
    <t xml:space="preserve">CFO Growth %</t>
  </si>
  <si>
    <t xml:space="preserve">CapEx (₹ Cr)</t>
  </si>
  <si>
    <t xml:space="preserve">Free Cash Flow (₹ Cr)</t>
  </si>
  <si>
    <t xml:space="preserve">FCF Margin %</t>
  </si>
  <si>
    <t xml:space="preserve">FCF Per Share (₹)</t>
  </si>
  <si>
    <t xml:space="preserve">FCF Growth %</t>
  </si>
  <si>
    <t xml:space="preserve">FCF / Net Income (Conversion)</t>
  </si>
  <si>
    <t xml:space="preserve">SBC (₹ Cr)</t>
  </si>
  <si>
    <t xml:space="preserve">SBC as % of Net Income</t>
  </si>
  <si>
    <t xml:space="preserve">Retained Earnings (₹ Cr)</t>
  </si>
  <si>
    <t xml:space="preserve">Retention Ratio %</t>
  </si>
  <si>
    <t xml:space="preserve">SECTION 6 &amp; 14A: RETURN ON CAPITAL &amp; DUPONT DECOMPOSITION</t>
  </si>
  <si>
    <t xml:space="preserve">ROE %</t>
  </si>
  <si>
    <t xml:space="preserve">ROA %</t>
  </si>
  <si>
    <t xml:space="preserve">--- DuPont Decomposition ---</t>
  </si>
  <si>
    <t xml:space="preserve">Net Profit Margin (NI/Rev)</t>
  </si>
  <si>
    <t xml:space="preserve">Asset Turnover (Rev/Avg Assets)</t>
  </si>
  <si>
    <t xml:space="preserve">Equity Multiplier (Avg Assets/Avg Eq)</t>
  </si>
  <si>
    <t xml:space="preserve">DuPont ROE (Product)</t>
  </si>
  <si>
    <t xml:space="preserve">--- Additional Returns ---</t>
  </si>
  <si>
    <t xml:space="preserve">ROCE % (EBIT/Capital Employed)</t>
  </si>
  <si>
    <t xml:space="preserve">ROIC % (NOPAT/Invested Capital)</t>
  </si>
  <si>
    <t xml:space="preserve">SECTION 8: SCALABILITY — Incremental Margins &amp; Capital Efficiency</t>
  </si>
  <si>
    <t xml:space="preserve">Revenue Growth %</t>
  </si>
  <si>
    <t xml:space="preserve">Op Profit (₹ Cr)</t>
  </si>
  <si>
    <t xml:space="preserve">Op Profit Growth %</t>
  </si>
  <si>
    <t xml:space="preserve">Current Op Margin %</t>
  </si>
  <si>
    <t xml:space="preserve">Incremental Op Margin %</t>
  </si>
  <si>
    <t xml:space="preserve">Inc. Margin / Current Margin</t>
  </si>
  <si>
    <t xml:space="preserve">CapEx as % of Revenue</t>
  </si>
  <si>
    <t xml:space="preserve">Revenue / CapEx (x)</t>
  </si>
  <si>
    <t xml:space="preserve">Asset Turnover</t>
  </si>
  <si>
    <t xml:space="preserve">SECTION 9: BUFFETT'S $1 TEST</t>
  </si>
  <si>
    <t xml:space="preserve">Period Start Year</t>
  </si>
  <si>
    <t xml:space="preserve">Period End Year</t>
  </si>
  <si>
    <t xml:space="preserve">Cumulative Net Income over period (₹ Cr)</t>
  </si>
  <si>
    <t xml:space="preserve">Cumulative Dividends Paid over period (₹ Cr)</t>
  </si>
  <si>
    <t xml:space="preserve">Cumulative Retained Earnings (₹ Cr)</t>
  </si>
  <si>
    <t xml:space="preserve">Market Cap at Start (₹ Cr)</t>
  </si>
  <si>
    <t xml:space="preserve">Market Cap at End (₹ Cr)</t>
  </si>
  <si>
    <t xml:space="preserve">Change in Market Cap (₹ Cr)</t>
  </si>
  <si>
    <t xml:space="preserve">$1 Test Result (Mkt Cap Change / Retained)</t>
  </si>
  <si>
    <t xml:space="preserve">INTERPRETATION:</t>
  </si>
  <si>
    <t xml:space="preserve">&gt; 1.0x  →  Management created more than ₹1 of market value per ₹1 retained — PASS</t>
  </si>
  <si>
    <t xml:space="preserve">≈ 1.0x  →  Breakeven — market values retained earnings at par</t>
  </si>
  <si>
    <t xml:space="preserve">&lt; 1.0x  →  Management destroyed value — FAIL</t>
  </si>
  <si>
    <t xml:space="preserve">SECTION 11: VALUATION MULTIPLES</t>
  </si>
  <si>
    <t xml:space="preserve">Note: Historical multiples require year-end prices. Enter below or compute from Screener data.</t>
  </si>
  <si>
    <t xml:space="preserve">CURRENT VALUATION SNAPSHOT</t>
  </si>
  <si>
    <t xml:space="preserve">Value</t>
  </si>
  <si>
    <t xml:space="preserve">Formula</t>
  </si>
  <si>
    <t xml:space="preserve">CMP (₹)</t>
  </si>
  <si>
    <t xml:space="preserve">Input</t>
  </si>
  <si>
    <t xml:space="preserve">TTM EPS (₹)</t>
  </si>
  <si>
    <t xml:space="preserve">Latest EPS from inputs</t>
  </si>
  <si>
    <t xml:space="preserve">TTM Net Profit (₹ Cr)</t>
  </si>
  <si>
    <t xml:space="preserve">Latest NP</t>
  </si>
  <si>
    <t xml:space="preserve">BVPS (₹)</t>
  </si>
  <si>
    <t xml:space="preserve">Latest BVPS</t>
  </si>
  <si>
    <t xml:space="preserve">TTM FCF (₹ Cr)</t>
  </si>
  <si>
    <t xml:space="preserve">CFO + CapEx</t>
  </si>
  <si>
    <t xml:space="preserve">TTM EBITDA (₹ Cr)</t>
  </si>
  <si>
    <t xml:space="preserve">Op Profit = EBITDA</t>
  </si>
  <si>
    <t xml:space="preserve">Shares (Cr)</t>
  </si>
  <si>
    <t xml:space="preserve">Diluted shares</t>
  </si>
  <si>
    <t xml:space="preserve">PE Ratio</t>
  </si>
  <si>
    <t xml:space="preserve">CMP / EPS</t>
  </si>
  <si>
    <t xml:space="preserve">P/B Ratio</t>
  </si>
  <si>
    <t xml:space="preserve">CMP / BVPS</t>
  </si>
  <si>
    <t xml:space="preserve">P/FCF</t>
  </si>
  <si>
    <t xml:space="preserve">MCap / FCF</t>
  </si>
  <si>
    <t xml:space="preserve">EV/EBITDA</t>
  </si>
  <si>
    <t xml:space="preserve">(MCap+Debt-Cash)/EBITDA</t>
  </si>
  <si>
    <t xml:space="preserve">Earnings Yield %</t>
  </si>
  <si>
    <t xml:space="preserve">EPS / CMP</t>
  </si>
  <si>
    <t xml:space="preserve">FCF Yield %</t>
  </si>
  <si>
    <t xml:space="preserve">FCF / MCap</t>
  </si>
  <si>
    <t xml:space="preserve">Dividend Yield %</t>
  </si>
  <si>
    <t xml:space="preserve">DPS / CMP</t>
  </si>
  <si>
    <t xml:space="preserve">Market Cap (₹ Cr)</t>
  </si>
  <si>
    <t xml:space="preserve">CMP × Shares</t>
  </si>
  <si>
    <t xml:space="preserve">Enterprise Value (₹ Cr)</t>
  </si>
  <si>
    <t xml:space="preserve">MCap+Debt-Cash</t>
  </si>
  <si>
    <t xml:space="preserve">BANK MODE: FAIR P/B CALCULATION (Gordon Growth)</t>
  </si>
  <si>
    <t xml:space="preserve">Sustainable ROE %</t>
  </si>
  <si>
    <t xml:space="preserve">Cost of Equity (CoE) %</t>
  </si>
  <si>
    <t xml:space="preserve">Growth Rate g = ROE × Retention</t>
  </si>
  <si>
    <t xml:space="preserve">Fair P/B = (ROE - g) / (CoE - g)</t>
  </si>
  <si>
    <t xml:space="preserve">SECTION 12: DCF INTRINSIC VALUE (3 SCENARIOS)</t>
  </si>
  <si>
    <t xml:space="preserve">ASSUMPTIONS</t>
  </si>
  <si>
    <t xml:space="preserve">Conservative</t>
  </si>
  <si>
    <t xml:space="preserve">Base</t>
  </si>
  <si>
    <t xml:space="preserve">Optimistic</t>
  </si>
  <si>
    <t xml:space="preserve">Starting Owner Earnings (₹ Cr)</t>
  </si>
  <si>
    <t xml:space="preserve">Growth Rate Yr 1-5 %</t>
  </si>
  <si>
    <t xml:space="preserve">Growth Rate Yr 6-10 %</t>
  </si>
  <si>
    <t xml:space="preserve">Terminal Growth Rate %</t>
  </si>
  <si>
    <t xml:space="preserve">Discount Rate (WACC / Hurdle) %</t>
  </si>
  <si>
    <t xml:space="preserve">Net Debt (₹ Cr) [+debt, -cash]</t>
  </si>
  <si>
    <t xml:space="preserve">Shares Outstanding (Cr)</t>
  </si>
  <si>
    <t xml:space="preserve">Current Market Price (₹)</t>
  </si>
  <si>
    <t xml:space="preserve">DCF — Conservative Scenario</t>
  </si>
  <si>
    <t xml:space="preserve">Year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</si>
  <si>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</si>
  <si>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</si>
  <si>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</si>
  <si>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</si>
  <si>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</si>
  <si>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</si>
  <si>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</si>
  <si>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</si>
  <si>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</si>
  <si>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</si>
  <si>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Terminal</t>
  </si>
  <si>
    <t xml:space="preserve">Owner Earnings (₹ Cr)</t>
  </si>
  <si>
    <t xml:space="preserve">Discount Factor</t>
  </si>
  <si>
    <t xml:space="preserve">PV of Cash Flow (₹ Cr)</t>
  </si>
  <si>
    <t xml:space="preserve">PV of 10-Year Cash Flows (₹ Cr)</t>
  </si>
  <si>
    <t xml:space="preserve">PV of Terminal Value (₹ Cr)</t>
  </si>
  <si>
    <t xml:space="preserve">Total Enterprise Value (₹ Cr)</t>
  </si>
  <si>
    <t xml:space="preserve">Less: Net Debt (₹ Cr)</t>
  </si>
  <si>
    <t xml:space="preserve">Equity Value (₹ Cr)</t>
  </si>
  <si>
    <t xml:space="preserve">Intrinsic Value Per Share (₹)</t>
  </si>
  <si>
    <t xml:space="preserve">Margin of Safety (IV-CMP)/IV</t>
  </si>
  <si>
    <t xml:space="preserve">Upside from CMP %</t>
  </si>
  <si>
    <t xml:space="preserve">DCF — Base Scenario</t>
  </si>
  <si>
    <t xml:space="preserve">DCF — Optimistic Scenario</t>
  </si>
  <si>
    <t xml:space="preserve">SECTION 13: REVERSE DCF — Implied EPS CAGR</t>
  </si>
  <si>
    <t xml:space="preserve">INPUTS</t>
  </si>
  <si>
    <t xml:space="preserve">TTM Normalised EPS (₹)</t>
  </si>
  <si>
    <t xml:space="preserve">Current PE</t>
  </si>
  <si>
    <t xml:space="preserve">TERMINAL PE SCENARIOS</t>
  </si>
  <si>
    <t xml:space="preserve">Mature (15x)</t>
  </si>
  <si>
    <t xml:space="preserve">Market (20x)</t>
  </si>
  <si>
    <t xml:space="preserve">Compounder (28x)</t>
  </si>
  <si>
    <t xml:space="preserve">Historical Avg</t>
  </si>
  <si>
    <t xml:space="preserve">Terminal PE Value</t>
  </si>
  <si>
    <t xml:space="preserve">At Terminal PE = Mature (15x)</t>
  </si>
  <si>
    <t xml:space="preserve">10% Return</t>
  </si>
  <si>
    <t xml:space="preserve">15% Return</t>
  </si>
  <si>
    <t xml:space="preserve">20% Return</t>
  </si>
  <si>
    <t xml:space="preserve">5 Years</t>
  </si>
  <si>
    <t xml:space="preserve">10 Years</t>
  </si>
  <si>
    <t xml:space="preserve">15 Years</t>
  </si>
  <si>
    <t xml:space="preserve">At Terminal PE = Market Avg (20x)</t>
  </si>
  <si>
    <t xml:space="preserve">At Terminal PE = Compounder (28x)</t>
  </si>
  <si>
    <t xml:space="preserve">At Terminal PE = Historical Avg</t>
  </si>
  <si>
    <t xml:space="preserve">BENCHMARKS FOR COMPARISON</t>
  </si>
  <si>
    <t xml:space="preserve">India Nominal GDP Growth %</t>
  </si>
  <si>
    <t xml:space="preserve">Industry Avg Growth %</t>
  </si>
  <si>
    <t xml:space="preserve">Analyst Consensus %</t>
  </si>
  <si>
    <t xml:space="preserve">STEP 3B: BUFFETT-PURE REVERSE DCF — Implied Owner Earnings (OEPS) CAGR</t>
  </si>
  <si>
    <t xml:space="preserve">Note: EPS can be flattered by under-investment or leverage. Owner Earnings strips this out. If OEPS-implied growth &gt;&gt; EPS-implied growth, the business is capital-hungry and EPS understates the true hurdle.</t>
  </si>
  <si>
    <t xml:space="preserve">Current OEPS (₹)</t>
  </si>
  <si>
    <t xml:space="preserve">Current P/OE</t>
  </si>
  <si>
    <t xml:space="preserve">TERMINAL P/OE SCENARIOS</t>
  </si>
  <si>
    <t xml:space="preserve">Mature (13x)</t>
  </si>
  <si>
    <t xml:space="preserve">Market (17x)</t>
  </si>
  <si>
    <t xml:space="preserve">Compounder (22x)</t>
  </si>
  <si>
    <t xml:space="preserve">Terminal P/OE Value</t>
  </si>
  <si>
    <t xml:space="preserve">Implied OEPS CAGR — at Market P/OE (17x)</t>
  </si>
  <si>
    <t xml:space="preserve">THE DIVERGENCE TEST — EPS vs OEPS (10Y, 10% return, same 20x terminal multiple)</t>
  </si>
  <si>
    <t xml:space="preserve">Implied EPS CAGR (from EPS block above)</t>
  </si>
  <si>
    <t xml:space="preserve">Implied OEPS CAGR (same 20x)</t>
  </si>
  <si>
    <t xml:space="preserve">Gap (OEPS − EPS), percentage points</t>
  </si>
  <si>
    <t xml:space="preserve">Reading: Gap ≈ 0 → EPS reliable (asset-light). Gap large &amp; positive (OEPS hurdle higher) → capital-hungry, EPS flatters; trust OEPS. Sign depends on Maintenance CapEx % in Sheet 16 — set it ≥100% of D&amp;A for capital-heavy firms to make this test meaningful.</t>
  </si>
  <si>
    <t xml:space="preserve">SECTION 14B: P/B SCENARIO RETURN ANALYSIS</t>
  </si>
  <si>
    <t xml:space="preserve">Current BVPS (₹)</t>
  </si>
  <si>
    <t xml:space="preserve">Current P/B</t>
  </si>
  <si>
    <t xml:space="preserve">BV Compounding Rate % (ROE×Ret)</t>
  </si>
  <si>
    <t xml:space="preserve">PROJECTED BVPS</t>
  </si>
  <si>
    <t xml:space="preserve">Year 5</t>
  </si>
  <si>
    <t xml:space="preserve">Year 7</t>
  </si>
  <si>
    <t xml:space="preserve">Year 10</t>
  </si>
  <si>
    <t xml:space="preserve">Projected BVPS (₹)</t>
  </si>
  <si>
    <t xml:space="preserve">EXPECTED ANNUAL RETURN (CAGR)</t>
  </si>
  <si>
    <t xml:space="preserve">5-Year CAGR</t>
  </si>
  <si>
    <t xml:space="preserve">7-Year CAGR</t>
  </si>
  <si>
    <t xml:space="preserve">10-Year CAGR</t>
  </si>
  <si>
    <t xml:space="preserve">P/B stays at current</t>
  </si>
  <si>
    <t xml:space="preserve">P/B = 0.75 × current</t>
  </si>
  <si>
    <t xml:space="preserve">P/B = 0.50 × current</t>
  </si>
  <si>
    <t xml:space="preserve">P/B = Fair P/B (enter below)</t>
  </si>
  <si>
    <t xml:space="preserve">P/B = Historical Median (enter below)</t>
  </si>
  <si>
    <t xml:space="preserve">P/B = 1.0x Book</t>
  </si>
  <si>
    <t xml:space="preserve">Fair P/B (from Section 11)</t>
  </si>
  <si>
    <t xml:space="preserve">Historical Median P/B</t>
  </si>
  <si>
    <t xml:space="preserve">SECTION 15: BUY ZONE DEFINITION</t>
  </si>
  <si>
    <t xml:space="preserve">STANDARD MODE — DCF-Anchored Zones</t>
  </si>
  <si>
    <t xml:space="preserve">Lower Bound</t>
  </si>
  <si>
    <t xml:space="preserve">Upper Bound</t>
  </si>
  <si>
    <t xml:space="preserve">Discount/Premium</t>
  </si>
  <si>
    <t xml:space="preserve">Current Zone?</t>
  </si>
  <si>
    <t xml:space="preserve">Base IV Per Share (₹)</t>
  </si>
  <si>
    <t xml:space="preserve">Deep Value / Strong Buy</t>
  </si>
  <si>
    <t xml:space="preserve">-50% to -30% of IV</t>
  </si>
  <si>
    <t xml:space="preserve">Value / Buy</t>
  </si>
  <si>
    <t xml:space="preserve">-30% to -10% of IV</t>
  </si>
  <si>
    <t xml:space="preserve">Fair Value / Hold</t>
  </si>
  <si>
    <t xml:space="preserve">-10% to 10% of IV</t>
  </si>
  <si>
    <t xml:space="preserve">Fully Valued / Trim</t>
  </si>
  <si>
    <t xml:space="preserve">10% to 30% of IV</t>
  </si>
  <si>
    <t xml:space="preserve">Overvalued / Sell</t>
  </si>
  <si>
    <t xml:space="preserve">∞</t>
  </si>
  <si>
    <t xml:space="preserve">30% to 99800% of IV</t>
  </si>
  <si>
    <t xml:space="preserve">BANK MODE — P/B-Anchored Zones</t>
  </si>
  <si>
    <t xml:space="preserve">Fair P/B Multiple</t>
  </si>
  <si>
    <t xml:space="preserve">SECTION 13.6: ASYMMETRIC UPSIDE CHECK</t>
  </si>
  <si>
    <t xml:space="preserve">DOWNSIDE SCENARIOS</t>
  </si>
  <si>
    <t xml:space="preserve">Implied Price (₹)</t>
  </si>
  <si>
    <t xml:space="preserve">Downside from CMP</t>
  </si>
  <si>
    <t xml:space="preserve">Tangible BV Floor (₹)</t>
  </si>
  <si>
    <t xml:space="preserve">Trough Earnings × Trough PE (₹)</t>
  </si>
  <si>
    <t xml:space="preserve">Conservative DCF IV (₹)</t>
  </si>
  <si>
    <t xml:space="preserve">Historical Lowest PE × Norm EPS (₹)</t>
  </si>
  <si>
    <t xml:space="preserve">UPSIDE SCENARIOS</t>
  </si>
  <si>
    <t xml:space="preserve">Upside from CMP</t>
  </si>
  <si>
    <t xml:space="preserve">Base Case IV (₹)</t>
  </si>
  <si>
    <t xml:space="preserve">Bull Case IV (₹)</t>
  </si>
  <si>
    <t xml:space="preserve">Scaling Multiplier IV (₹)</t>
  </si>
  <si>
    <t xml:space="preserve">Re-rating Catalyst IV (₹)</t>
  </si>
  <si>
    <t xml:space="preserve">ASYMMETRY RATIO</t>
  </si>
  <si>
    <t xml:space="preserve">Most Probable Downside % (enter)</t>
  </si>
  <si>
    <t xml:space="preserve">Base Case Upside % (enter)</t>
  </si>
  <si>
    <t xml:space="preserve">ASYMMETRY RATIO (Upside / Downside)</t>
  </si>
  <si>
    <t xml:space="preserve">&gt; 5:1 = Exceptional fat pitch</t>
  </si>
  <si>
    <t xml:space="preserve">3:1 to 5:1 = Strong fat pitch</t>
  </si>
  <si>
    <t xml:space="preserve">2:1 to 3:1 = Decent pitch</t>
  </si>
  <si>
    <t xml:space="preserve">1:1 to 2:1 = Marginal</t>
  </si>
  <si>
    <t xml:space="preserve">&lt; 1:1 = Negative asymmetry — PASS</t>
  </si>
  <si>
    <t xml:space="preserve">BANK MODE: ROE / BOOK VALUE COMPOUNDING MODEL</t>
  </si>
  <si>
    <t xml:space="preserve">SCENARIO INPUTS</t>
  </si>
  <si>
    <t xml:space="preserve">BV Compounding Rate %</t>
  </si>
  <si>
    <t xml:space="preserve">Exit P/B Multiple</t>
  </si>
  <si>
    <t xml:space="preserve">Conservative — Projected Returns</t>
  </si>
  <si>
    <t xml:space="preserve">Year 3</t>
  </si>
  <si>
    <t xml:space="preserve">Implied Price at Exit P/B (₹)</t>
  </si>
  <si>
    <t xml:space="preserve">Annual Return CAGR %</t>
  </si>
  <si>
    <t xml:space="preserve">Base — Projected Returns</t>
  </si>
  <si>
    <t xml:space="preserve">Optimistic — Projected Returns</t>
  </si>
  <si>
    <t xml:space="preserve">BANK MODE: EXCESS RETURN (RESIDUAL INCOME) MODEL</t>
  </si>
  <si>
    <t xml:space="preserve">INPUTS (per scenario)</t>
  </si>
  <si>
    <t xml:space="preserve">Cost of Equity %</t>
  </si>
  <si>
    <t xml:space="preserve">Excess Return Spread (ROE - CoE) %</t>
  </si>
  <si>
    <t xml:space="preserve">Terminal Growth of Excess Returns %</t>
  </si>
  <si>
    <t xml:space="preserve">10-YEAR EXCESS RETURN PROJECTION</t>
  </si>
  <si>
    <t xml:space="preserve">Excess Return/share (₹)</t>
  </si>
  <si>
    <t xml:space="preserve">PV of Excess Return (₹)</t>
  </si>
  <si>
    <t xml:space="preserve">PV of 10Y Excess Returns (₹)</t>
  </si>
  <si>
    <t xml:space="preserve">PV of Terminal Excess Returns (₹)</t>
  </si>
  <si>
    <t xml:space="preserve">INTRINSIC VALUE PER SHARE (₹)</t>
  </si>
  <si>
    <t xml:space="preserve">SECTION 5: CAPEX QUALITY &amp; OWNER EARNINGS</t>
  </si>
  <si>
    <t xml:space="preserve">MAINTENANCE CAPEX ASSUMPTION</t>
  </si>
  <si>
    <t xml:space="preserve">Maintenance CapEx as % of D&amp;A (est.)</t>
  </si>
  <si>
    <t xml:space="preserve">% (typical range 50-100%)</t>
  </si>
  <si>
    <t xml:space="preserve">+ Depreciation (₹ Cr)</t>
  </si>
  <si>
    <t xml:space="preserve">- Maintenance CapEx (₹ Cr)</t>
  </si>
  <si>
    <t xml:space="preserve">OWNER EARNINGS (₹ Cr)</t>
  </si>
  <si>
    <t xml:space="preserve">Owner Earnings Per Share (₹)</t>
  </si>
  <si>
    <t xml:space="preserve">OE Growth %</t>
  </si>
  <si>
    <t xml:space="preserve">P/OE Ratio (at CMP)</t>
  </si>
  <si>
    <t xml:space="preserve">--- CapEx Breakdown ---</t>
  </si>
  <si>
    <t xml:space="preserve">Total CapEx (₹ Cr)</t>
  </si>
  <si>
    <t xml:space="preserve">SBC as % of Revenue</t>
  </si>
  <si>
    <t xml:space="preserve">SECTION 19: FINAL BUFFETT SCORECARD</t>
  </si>
  <si>
    <t xml:space="preserve">Factor</t>
  </si>
  <si>
    <t xml:space="preserve">Score (1-10)</t>
  </si>
  <si>
    <t xml:space="preserve">Commentary</t>
  </si>
  <si>
    <t xml:space="preserve">Business Quality &amp; Simplicity</t>
  </si>
  <si>
    <t xml:space="preserve">Moat Durability</t>
  </si>
  <si>
    <t xml:space="preserve">Financial Health / Fortress</t>
  </si>
  <si>
    <t xml:space="preserve">Management Quality &amp; Capital Allocation</t>
  </si>
  <si>
    <t xml:space="preserve">Earnings Quality (OE vs Reported)</t>
  </si>
  <si>
    <t xml:space="preserve">Return on Capital (ROE/ROIC Quality)</t>
  </si>
  <si>
    <t xml:space="preserve">Scalability &amp; Runway</t>
  </si>
  <si>
    <t xml:space="preserve">Valuation (Margin of Safety)</t>
  </si>
  <si>
    <t xml:space="preserve">Risk Profile</t>
  </si>
  <si>
    <t xml:space="preserve">Fat Pitch / Asymmetry</t>
  </si>
  <si>
    <t xml:space="preserve">OVERALL SCORE</t>
  </si>
  <si>
    <t xml:space="preserve">VERDICT</t>
  </si>
  <si>
    <t xml:space="preserve">Score Guide:</t>
  </si>
  <si>
    <t xml:space="preserve">8-10 = STRONG BUY  |  6.5-8 = BUY  |  5-6.5 = HOLD  |  3.5-5 = AVOID  |  &lt;3.5 = SELL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</si>
</sst>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"/>
    <numFmt numFmtId="166" formatCode="0.0%"/>
    <numFmt numFmtId="167" formatCode="0.00"/>
    <numFmt numFmtId="168" formatCode="0.00\x"/>
    <numFmt numFmtId="169" formatCode="General"/>
    <numFmt numFmtId="170" formatCode="0.0\x"/>
    <numFmt numFmtId="171" formatCode="0.00%"/>
    <numFmt numFmtId="172" formatCode="0.0000"/>
    <numFmt numFmtId="173" formatCode="\₹#,##0.00"/>
    <numFmt numFmtId="174" formatCode="0.0"/>
    <numFmt numFmtId="175" formatCode="\₹#,##0"/>
    <numFmt numFmtId="176" formatCode="0.0\:1"/>
    <numFmt numFmtId="177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D6E4F0"/>
        <bgColor rgb="FFDAEEF3"/>
      </patternFill>
    </fill>
    <fill>
      <patternFill patternType="solid">
        <fgColor rgb="FFE2EFDA"/>
        <bgColor rgb="FFDAEEF3"/>
      </patternFill>
    </fill>
    <fill>
      <patternFill patternType="solid">
        <fgColor rgb="FFDAEEF3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AEEF3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C00"/>
      <rgbColor rgb="FFFF6600"/>
      <rgbColor rgb="FF666699"/>
      <rgbColor rgb="FF888888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A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2" t="s">
        <v>0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3" t="s">
        <v>2</v>
      </c>
    </row>
    <row r="6" customFormat="false" ht="15" hidden="false" customHeight="true" outlineLevel="0" collapsed="false">
      <c r="A6" s="3"/>
    </row>
    <row r="7" customFormat="false" ht="15" hidden="false" customHeight="true" outlineLevel="0" collapsed="false">
      <c r="A7" s="3" t="s">
        <v>3</v>
      </c>
    </row>
    <row r="8" customFormat="false" ht="15" hidden="false" customHeight="true" outlineLevel="0" collapsed="false">
      <c r="A8" s="3" t="s">
        <v>4</v>
      </c>
    </row>
    <row r="9" customFormat="false" ht="15" hidden="false" customHeight="true" outlineLevel="0" collapsed="false">
      <c r="A9" s="3" t="s">
        <v>5</v>
      </c>
    </row>
    <row r="10" customFormat="false" ht="15" hidden="false" customHeight="true" outlineLevel="0" collapsed="false">
      <c r="A10" s="3" t="s">
        <v>6</v>
      </c>
    </row>
    <row r="11" customFormat="false" ht="15" hidden="false" customHeight="true" outlineLevel="0" collapsed="false">
      <c r="A11" s="3" t="s">
        <v>7</v>
      </c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/>
    </row>
    <row r="14" customFormat="false" ht="15" hidden="false" customHeight="true" outlineLevel="0" collapsed="false">
      <c r="A14" s="3" t="s">
        <v>9</v>
      </c>
    </row>
    <row r="15" customFormat="false" ht="15" hidden="false" customHeight="true" outlineLevel="0" collapsed="false">
      <c r="A15" s="3" t="s">
        <v>10</v>
      </c>
    </row>
    <row r="16" customFormat="false" ht="15" hidden="false" customHeight="true" outlineLevel="0" collapsed="false">
      <c r="A16" s="3" t="s">
        <v>11</v>
      </c>
    </row>
    <row r="17" customFormat="false" ht="15" hidden="false" customHeight="true" outlineLevel="0" collapsed="false">
      <c r="A17" s="3" t="s">
        <v>12</v>
      </c>
    </row>
    <row r="18" customFormat="false" ht="15" hidden="false" customHeight="true" outlineLevel="0" collapsed="false">
      <c r="A18" s="3" t="s">
        <v>13</v>
      </c>
    </row>
    <row r="19" customFormat="false" ht="15" hidden="false" customHeight="true" outlineLevel="0" collapsed="false">
      <c r="A19" s="3" t="s">
        <v>14</v>
      </c>
    </row>
    <row r="20" customFormat="false" ht="15" hidden="false" customHeight="true" outlineLevel="0" collapsed="false">
      <c r="A20" s="3" t="s">
        <v>15</v>
      </c>
    </row>
    <row r="21" customFormat="false" ht="15" hidden="false" customHeight="true" outlineLevel="0" collapsed="false">
      <c r="A21" s="3"/>
    </row>
    <row r="22" customFormat="false" ht="15" hidden="false" customHeight="true" outlineLevel="0" collapsed="false">
      <c r="A22" s="3" t="s">
        <v>16</v>
      </c>
    </row>
    <row r="23" customFormat="false" ht="15" hidden="false" customHeight="true" outlineLevel="0" collapsed="false">
      <c r="A23" s="3" t="s">
        <v>17</v>
      </c>
    </row>
    <row r="24" customFormat="false" ht="15" hidden="false" customHeight="true" outlineLevel="0" collapsed="false">
      <c r="A24" s="3" t="s">
        <v>18</v>
      </c>
    </row>
    <row r="25" customFormat="false" ht="15" hidden="false" customHeight="true" outlineLevel="0" collapsed="false">
      <c r="A25" s="3" t="s">
        <v>19</v>
      </c>
    </row>
    <row r="26" customFormat="false" ht="15" hidden="false" customHeight="true" outlineLevel="0" collapsed="false">
      <c r="A26" s="3" t="s">
        <v>20</v>
      </c>
    </row>
    <row r="27" customFormat="false" ht="15" hidden="false" customHeight="true" outlineLevel="0" collapsed="false">
      <c r="A27" s="3" t="s">
        <v>21</v>
      </c>
    </row>
    <row r="28" customFormat="false" ht="15" hidden="false" customHeight="true" outlineLevel="0" collapsed="false">
      <c r="A28" s="3" t="s">
        <v>22</v>
      </c>
    </row>
    <row r="29" customFormat="false" ht="15" hidden="false" customHeight="true" outlineLevel="0" collapsed="false">
      <c r="A29" s="3"/>
    </row>
    <row r="30" customFormat="false" ht="15" hidden="false" customHeight="true" outlineLevel="0" collapsed="false">
      <c r="A30" s="3" t="s">
        <v>23</v>
      </c>
    </row>
    <row r="31" customFormat="false" ht="15" hidden="false" customHeight="true" outlineLevel="0" collapsed="false">
      <c r="A31" s="3"/>
    </row>
    <row r="32" customFormat="false" ht="15" hidden="false" customHeight="true" outlineLevel="0" collapsed="false">
      <c r="A32" s="3" t="s">
        <v>24</v>
      </c>
    </row>
    <row r="33" customFormat="false" ht="15" hidden="false" customHeight="true" outlineLevel="0" collapsed="false">
      <c r="A33" s="3" t="s">
        <v>25</v>
      </c>
    </row>
    <row r="34" customFormat="false" ht="15" hidden="false" customHeight="true" outlineLevel="0" collapsed="false">
      <c r="A34" s="3" t="s">
        <v>26</v>
      </c>
    </row>
    <row r="35" customFormat="false" ht="15" hidden="false" customHeight="true" outlineLevel="0" collapsed="false">
      <c r="A35" s="3" t="s">
        <v>27</v>
      </c>
    </row>
    <row r="36" customFormat="false" ht="15" hidden="false" customHeight="true" outlineLevel="0" collapsed="false">
      <c r="A36" s="3"/>
    </row>
    <row r="37" customFormat="false" ht="15" hidden="false" customHeight="true" outlineLevel="0" collapsed="false">
      <c r="A37" s="3" t="s">
        <v>28</v>
      </c>
    </row>
    <row r="38" customFormat="false" ht="15" hidden="false" customHeight="true" outlineLevel="0" collapsed="false">
      <c r="A38" s="3" t="s">
        <v>29</v>
      </c>
    </row>
    <row r="39" customFormat="false" ht="15" hidden="false" customHeight="true" outlineLevel="0" collapsed="false">
      <c r="A39" s="3"/>
    </row>
    <row r="40" customFormat="false" ht="15" hidden="false" customHeight="true" outlineLevel="0" collapsed="false">
      <c r="A40" s="3" t="s">
        <v>30</v>
      </c>
    </row>
    <row r="41" customFormat="false" ht="15" hidden="false" customHeight="true" outlineLevel="0" collapsed="false">
      <c r="A41" s="3" t="s">
        <v>31</v>
      </c>
    </row>
    <row r="42" customFormat="false" ht="15" hidden="false" customHeight="true" outlineLevel="0" collapsed="false">
      <c r="A42" s="3" t="s">
        <v>32</v>
      </c>
    </row>
    <row r="43" customFormat="false" ht="15" hidden="false" customHeight="true" outlineLevel="0" collapsed="false">
      <c r="A43" s="3" t="s">
        <v>33</v>
      </c>
    </row>
    <row r="44" customFormat="false" ht="15" hidden="false" customHeight="true" outlineLevel="0" collapsed="false">
      <c r="A44" s="3" t="s">
        <v>34</v>
      </c>
    </row>
    <row r="45" customFormat="false" ht="15" hidden="false" customHeight="true" outlineLevel="0" collapsed="false">
      <c r="A45" s="3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false"/>
  </sheetPr>
  <dimension ref="A1:L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12" min="2" style="1" width="14"/>
  </cols>
  <sheetData>
    <row r="1" customFormat="false" ht="17.25" hidden="false" customHeight="true" outlineLevel="0" collapsed="false">
      <c r="A1" s="4" t="s">
        <v>36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customFormat="false" ht="15" hidden="false" customHeight="true" outlineLevel="0" collapsed="false">
      <c r="A2" s="1" t="s">
        <v>37</v>
      </c>
      <c r="B2" s="5"/>
    </row>
    <row r="3" customFormat="false" ht="15" hidden="false" customHeight="true" outlineLevel="0" collapsed="false">
      <c r="A3" s="1" t="s">
        <v>38</v>
      </c>
      <c r="B3" s="5"/>
    </row>
    <row r="4" customFormat="false" ht="15" hidden="false" customHeight="true" outlineLevel="0" collapsed="false">
      <c r="A4" s="1" t="s">
        <v>39</v>
      </c>
      <c r="B4" s="5" t="n">
        <v>0</v>
      </c>
    </row>
    <row r="5" customFormat="false" ht="15" hidden="false" customHeight="true" outlineLevel="0" collapsed="false">
      <c r="A5" s="1" t="s">
        <v>40</v>
      </c>
      <c r="B5" s="5" t="n">
        <v>0</v>
      </c>
    </row>
    <row r="6" customFormat="false" ht="15" hidden="false" customHeight="true" outlineLevel="0" collapsed="false">
      <c r="A6" s="1" t="s">
        <v>41</v>
      </c>
      <c r="B6" s="5"/>
    </row>
    <row r="7" customFormat="false" ht="15" hidden="false" customHeight="true" outlineLevel="0" collapsed="false">
      <c r="A7" s="1" t="s">
        <v>42</v>
      </c>
      <c r="B7" s="5" t="s">
        <v>43</v>
      </c>
    </row>
    <row r="9" customFormat="false" ht="15" hidden="false" customHeight="true" outlineLevel="0" collapsed="false">
      <c r="A9" s="6" t="s">
        <v>44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customFormat="false" ht="15" hidden="false" customHeight="true" outlineLevel="0" collapsed="false">
      <c r="A10" s="7" t="s">
        <v>45</v>
      </c>
      <c r="B10" s="7" t="s">
        <v>46</v>
      </c>
      <c r="C10" s="7" t="s">
        <v>47</v>
      </c>
      <c r="D10" s="7" t="s">
        <v>48</v>
      </c>
      <c r="E10" s="7" t="s">
        <v>49</v>
      </c>
      <c r="F10" s="7" t="s">
        <v>50</v>
      </c>
      <c r="G10" s="7" t="s">
        <v>51</v>
      </c>
      <c r="H10" s="7" t="s">
        <v>52</v>
      </c>
      <c r="I10" s="7" t="s">
        <v>53</v>
      </c>
      <c r="J10" s="7" t="s">
        <v>54</v>
      </c>
      <c r="K10" s="7" t="s">
        <v>55</v>
      </c>
      <c r="L10" s="7" t="s">
        <v>56</v>
      </c>
    </row>
    <row r="11" customFormat="false" ht="15" hidden="false" customHeight="true" outlineLevel="0" collapsed="false">
      <c r="A11" s="8" t="s">
        <v>57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customFormat="false" ht="15" hidden="false" customHeight="true" outlineLevel="0" collapsed="false">
      <c r="A12" s="8" t="s">
        <v>58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customFormat="false" ht="15" hidden="false" customHeight="true" outlineLevel="0" collapsed="false">
      <c r="A13" s="8" t="s">
        <v>59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customFormat="false" ht="15" hidden="false" customHeight="true" outlineLevel="0" collapsed="false">
      <c r="A14" s="8" t="s">
        <v>60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customFormat="false" ht="15" hidden="false" customHeight="true" outlineLevel="0" collapsed="false">
      <c r="A15" s="8" t="s">
        <v>61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customFormat="false" ht="15" hidden="false" customHeight="true" outlineLevel="0" collapsed="false">
      <c r="A16" s="8" t="s">
        <v>62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customFormat="false" ht="15" hidden="false" customHeight="true" outlineLevel="0" collapsed="false">
      <c r="A17" s="8" t="s">
        <v>63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customFormat="false" ht="15" hidden="false" customHeight="true" outlineLevel="0" collapsed="false">
      <c r="A18" s="8" t="s">
        <v>64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customFormat="false" ht="15" hidden="false" customHeight="true" outlineLevel="0" collapsed="false">
      <c r="A19" s="8" t="s">
        <v>65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customFormat="false" ht="15" hidden="false" customHeight="true" outlineLevel="0" collapsed="false">
      <c r="A20" s="8" t="s">
        <v>66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Format="false" ht="15" hidden="false" customHeight="true" outlineLevel="0" collapsed="false">
      <c r="A21" s="9" t="s">
        <v>67</v>
      </c>
    </row>
    <row r="22" customFormat="false" ht="15" hidden="false" customHeight="true" outlineLevel="0" collapsed="false">
      <c r="A22" s="8" t="s">
        <v>68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customFormat="false" ht="15" hidden="false" customHeight="true" outlineLevel="0" collapsed="false">
      <c r="A23" s="8" t="s">
        <v>61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customFormat="false" ht="15" hidden="false" customHeight="true" outlineLevel="0" collapsed="false">
      <c r="A24" s="8" t="s">
        <v>69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customFormat="false" ht="15" hidden="false" customHeight="true" outlineLevel="0" collapsed="false">
      <c r="A25" s="8" t="s">
        <v>70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customFormat="false" ht="15" hidden="false" customHeight="true" outlineLevel="0" collapsed="false">
      <c r="A26" s="8" t="s">
        <v>71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customFormat="false" ht="15" hidden="false" customHeight="true" outlineLevel="0" collapsed="false">
      <c r="A27" s="8" t="s">
        <v>72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customFormat="false" ht="15" hidden="false" customHeight="true" outlineLevel="0" collapsed="false">
      <c r="A28" s="8" t="s">
        <v>73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30" customFormat="false" ht="15" hidden="false" customHeight="true" outlineLevel="0" collapsed="false">
      <c r="A30" s="6" t="s">
        <v>74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customFormat="false" ht="15" hidden="false" customHeight="true" outlineLevel="0" collapsed="false">
      <c r="A31" s="7" t="s">
        <v>45</v>
      </c>
      <c r="B31" s="7" t="s">
        <v>46</v>
      </c>
      <c r="C31" s="7" t="s">
        <v>47</v>
      </c>
      <c r="D31" s="7" t="s">
        <v>48</v>
      </c>
      <c r="E31" s="7" t="s">
        <v>49</v>
      </c>
      <c r="F31" s="7" t="s">
        <v>50</v>
      </c>
      <c r="G31" s="7" t="s">
        <v>51</v>
      </c>
      <c r="H31" s="7" t="s">
        <v>52</v>
      </c>
      <c r="I31" s="7" t="s">
        <v>53</v>
      </c>
      <c r="J31" s="7" t="s">
        <v>54</v>
      </c>
      <c r="K31" s="7" t="s">
        <v>55</v>
      </c>
      <c r="L31" s="7" t="s">
        <v>56</v>
      </c>
    </row>
    <row r="32" customFormat="false" ht="15" hidden="false" customHeight="true" outlineLevel="0" collapsed="false">
      <c r="A32" s="8" t="s">
        <v>75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customFormat="false" ht="15" hidden="false" customHeight="true" outlineLevel="0" collapsed="false">
      <c r="A33" s="8" t="s">
        <v>76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customFormat="false" ht="15" hidden="false" customHeight="true" outlineLevel="0" collapsed="false">
      <c r="A34" s="8" t="s">
        <v>77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customFormat="false" ht="15" hidden="false" customHeight="true" outlineLevel="0" collapsed="false">
      <c r="A35" s="8" t="s">
        <v>78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customFormat="false" ht="15" hidden="false" customHeight="true" outlineLevel="0" collapsed="false">
      <c r="A36" s="8" t="s">
        <v>79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customFormat="false" ht="15" hidden="false" customHeight="true" outlineLevel="0" collapsed="false">
      <c r="A37" s="8" t="s">
        <v>80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customFormat="false" ht="15" hidden="false" customHeight="true" outlineLevel="0" collapsed="false">
      <c r="A38" s="8" t="s">
        <v>81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customFormat="false" ht="15" hidden="false" customHeight="true" outlineLevel="0" collapsed="false">
      <c r="A39" s="8" t="s">
        <v>82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customFormat="false" ht="15" hidden="false" customHeight="true" outlineLevel="0" collapsed="false">
      <c r="A40" s="9" t="s">
        <v>67</v>
      </c>
    </row>
    <row r="41" customFormat="false" ht="15" hidden="false" customHeight="true" outlineLevel="0" collapsed="false">
      <c r="A41" s="8" t="s">
        <v>83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customFormat="false" ht="15" hidden="false" customHeight="true" outlineLevel="0" collapsed="false">
      <c r="A42" s="8" t="s">
        <v>84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customFormat="false" ht="15" hidden="false" customHeight="true" outlineLevel="0" collapsed="false">
      <c r="A43" s="8" t="s">
        <v>85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customFormat="false" ht="15" hidden="false" customHeight="true" outlineLevel="0" collapsed="false">
      <c r="A44" s="8" t="s">
        <v>86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customFormat="false" ht="15" hidden="false" customHeight="true" outlineLevel="0" collapsed="false">
      <c r="A45" s="8" t="s">
        <v>87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customFormat="false" ht="15" hidden="false" customHeight="true" outlineLevel="0" collapsed="false">
      <c r="A46" s="8" t="s">
        <v>88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customFormat="false" ht="15" hidden="false" customHeight="true" outlineLevel="0" collapsed="false">
      <c r="A47" s="8" t="s">
        <v>89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customFormat="false" ht="15" hidden="false" customHeight="true" outlineLevel="0" collapsed="false">
      <c r="A48" s="8" t="s">
        <v>90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customFormat="false" ht="15" hidden="false" customHeight="true" outlineLevel="0" collapsed="false">
      <c r="A49" s="8" t="s">
        <v>91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customFormat="false" ht="15" hidden="false" customHeight="true" outlineLevel="0" collapsed="false">
      <c r="A50" s="8" t="s">
        <v>92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2" customFormat="false" ht="15" hidden="false" customHeight="true" outlineLevel="0" collapsed="false">
      <c r="A52" s="6" t="s">
        <v>93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customFormat="false" ht="15" hidden="false" customHeight="true" outlineLevel="0" collapsed="false">
      <c r="A53" s="7" t="s">
        <v>45</v>
      </c>
      <c r="B53" s="7" t="s">
        <v>46</v>
      </c>
      <c r="C53" s="7" t="s">
        <v>47</v>
      </c>
      <c r="D53" s="7" t="s">
        <v>48</v>
      </c>
      <c r="E53" s="7" t="s">
        <v>49</v>
      </c>
      <c r="F53" s="7" t="s">
        <v>50</v>
      </c>
      <c r="G53" s="7" t="s">
        <v>51</v>
      </c>
      <c r="H53" s="7" t="s">
        <v>52</v>
      </c>
      <c r="I53" s="7" t="s">
        <v>53</v>
      </c>
      <c r="J53" s="7" t="s">
        <v>54</v>
      </c>
      <c r="K53" s="7" t="s">
        <v>55</v>
      </c>
      <c r="L53" s="7" t="s">
        <v>56</v>
      </c>
    </row>
    <row r="54" customFormat="false" ht="15" hidden="false" customHeight="true" outlineLevel="0" collapsed="false">
      <c r="A54" s="8" t="s">
        <v>94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customFormat="false" ht="15" hidden="false" customHeight="true" outlineLevel="0" collapsed="false">
      <c r="A55" s="8" t="s">
        <v>95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customFormat="false" ht="15" hidden="false" customHeight="true" outlineLevel="0" collapsed="false">
      <c r="A56" s="8" t="s">
        <v>96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customFormat="false" ht="15" hidden="false" customHeight="true" outlineLevel="0" collapsed="false">
      <c r="A57" s="8" t="s">
        <v>97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customFormat="false" ht="15" hidden="false" customHeight="true" outlineLevel="0" collapsed="false">
      <c r="A58" s="8" t="s">
        <v>98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customFormat="false" ht="15" hidden="false" customHeight="true" outlineLevel="0" collapsed="false">
      <c r="A59" s="8" t="s">
        <v>99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customFormat="false" ht="15" hidden="false" customHeight="true" outlineLevel="0" collapsed="false">
      <c r="A60" s="8" t="s">
        <v>100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2" customFormat="false" ht="15" hidden="false" customHeight="true" outlineLevel="0" collapsed="false">
      <c r="A62" s="6" t="s">
        <v>101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customFormat="false" ht="15" hidden="false" customHeight="true" outlineLevel="0" collapsed="false">
      <c r="A63" s="8" t="s">
        <v>102</v>
      </c>
      <c r="B63" s="5"/>
    </row>
    <row r="64" customFormat="false" ht="15" hidden="false" customHeight="true" outlineLevel="0" collapsed="false">
      <c r="A64" s="8" t="s">
        <v>103</v>
      </c>
      <c r="B64" s="5"/>
    </row>
    <row r="65" customFormat="false" ht="15" hidden="false" customHeight="true" outlineLevel="0" collapsed="false">
      <c r="A65" s="8" t="s">
        <v>104</v>
      </c>
      <c r="B65" s="5"/>
    </row>
    <row r="66" customFormat="false" ht="15" hidden="false" customHeight="true" outlineLevel="0" collapsed="false">
      <c r="A66" s="8" t="s">
        <v>105</v>
      </c>
      <c r="B66" s="5"/>
    </row>
    <row r="67" customFormat="false" ht="15" hidden="false" customHeight="true" outlineLevel="0" collapsed="false">
      <c r="A67" s="8" t="s">
        <v>106</v>
      </c>
      <c r="B67" s="5"/>
    </row>
    <row r="68" customFormat="false" ht="15" hidden="false" customHeight="true" outlineLevel="0" collapsed="false">
      <c r="A68" s="8" t="s">
        <v>107</v>
      </c>
      <c r="B68" s="5"/>
    </row>
    <row r="69" customFormat="false" ht="15" hidden="false" customHeight="true" outlineLevel="0" collapsed="false">
      <c r="A69" s="8" t="s">
        <v>108</v>
      </c>
      <c r="B69" s="5"/>
    </row>
    <row r="70" customFormat="false" ht="15" hidden="false" customHeight="true" outlineLevel="0" collapsed="false">
      <c r="A70" s="8" t="s">
        <v>109</v>
      </c>
      <c r="B70" s="5"/>
    </row>
    <row r="71" customFormat="false" ht="15" hidden="false" customHeight="true" outlineLevel="0" collapsed="false">
      <c r="A71" s="8" t="s">
        <v>110</v>
      </c>
      <c r="B71" s="5"/>
    </row>
    <row r="72" customFormat="false" ht="15" hidden="false" customHeight="true" outlineLevel="0" collapsed="false">
      <c r="A72" s="8" t="s">
        <v>111</v>
      </c>
      <c r="B72" s="5" t="n">
        <v>11</v>
      </c>
    </row>
    <row r="73" customFormat="false" ht="15" hidden="false" customHeight="true" outlineLevel="0" collapsed="false">
      <c r="A73" s="8" t="s">
        <v>112</v>
      </c>
      <c r="B73" s="5"/>
    </row>
    <row r="74" customFormat="false" ht="15" hidden="false" customHeight="true" outlineLevel="0" collapsed="false">
      <c r="A74" s="8" t="s">
        <v>113</v>
      </c>
      <c r="B74" s="5"/>
    </row>
    <row r="75" customFormat="false" ht="15" hidden="false" customHeight="true" outlineLevel="0" collapsed="false">
      <c r="A75" s="8" t="s">
        <v>114</v>
      </c>
      <c r="B75" s="5"/>
    </row>
    <row r="76" customFormat="false" ht="15" hidden="false" customHeight="true" outlineLevel="0" collapsed="false">
      <c r="A76" s="8" t="s">
        <v>115</v>
      </c>
      <c r="B76" s="5"/>
    </row>
    <row r="77" customFormat="false" ht="15" hidden="false" customHeight="true" outlineLevel="0" collapsed="false">
      <c r="A77" s="8" t="s">
        <v>116</v>
      </c>
      <c r="B77" s="5" t="n">
        <v>10</v>
      </c>
    </row>
    <row r="78" customFormat="false" ht="15" hidden="false" customHeight="true" outlineLevel="0" collapsed="false">
      <c r="A78" s="8" t="s">
        <v>117</v>
      </c>
      <c r="B78" s="5" t="n">
        <v>7</v>
      </c>
    </row>
    <row r="79" customFormat="false" ht="15" hidden="false" customHeight="true" outlineLevel="0" collapsed="false">
      <c r="A79" s="8" t="s">
        <v>118</v>
      </c>
      <c r="B79" s="5" t="n">
        <v>6</v>
      </c>
    </row>
    <row r="80" customFormat="false" ht="15" hidden="false" customHeight="true" outlineLevel="0" collapsed="false">
      <c r="A80" s="8" t="s">
        <v>119</v>
      </c>
      <c r="B80" s="5"/>
    </row>
    <row r="81" customFormat="false" ht="15" hidden="false" customHeight="true" outlineLevel="0" collapsed="false">
      <c r="A81" s="8" t="s">
        <v>120</v>
      </c>
      <c r="B81" s="5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12" min="2" style="1" width="14"/>
  </cols>
  <sheetData>
    <row r="1" customFormat="false" ht="15.75" hidden="false" customHeight="true" outlineLevel="0" collapsed="false">
      <c r="A1" s="10" t="s">
        <v>121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3" customFormat="false" ht="15" hidden="false" customHeight="true" outlineLevel="0" collapsed="false">
      <c r="A3" s="7" t="s">
        <v>45</v>
      </c>
      <c r="B3" s="7" t="n">
        <f aca="false">'1. Inputs'!B11</f>
        <v>0</v>
      </c>
      <c r="C3" s="7" t="n">
        <f aca="false">'1. Inputs'!C11</f>
        <v>0</v>
      </c>
      <c r="D3" s="7" t="n">
        <f aca="false">'1. Inputs'!D11</f>
        <v>0</v>
      </c>
      <c r="E3" s="7" t="n">
        <f aca="false">'1. Inputs'!E11</f>
        <v>0</v>
      </c>
      <c r="F3" s="7" t="n">
        <f aca="false">'1. Inputs'!F11</f>
        <v>0</v>
      </c>
      <c r="G3" s="7" t="n">
        <f aca="false">'1. Inputs'!G11</f>
        <v>0</v>
      </c>
      <c r="H3" s="7" t="n">
        <f aca="false">'1. Inputs'!H11</f>
        <v>0</v>
      </c>
      <c r="I3" s="7" t="n">
        <f aca="false">'1. Inputs'!I11</f>
        <v>0</v>
      </c>
      <c r="J3" s="7" t="n">
        <f aca="false">'1. Inputs'!J11</f>
        <v>0</v>
      </c>
      <c r="K3" s="7" t="n">
        <f aca="false">'1. Inputs'!K11</f>
        <v>0</v>
      </c>
      <c r="L3" s="7" t="n">
        <f aca="false">'1. Inputs'!L11</f>
        <v>0</v>
      </c>
    </row>
    <row r="4" customFormat="false" ht="15" hidden="false" customHeight="true" outlineLevel="0" collapsed="false">
      <c r="A4" s="9" t="s">
        <v>122</v>
      </c>
      <c r="B4" s="11" t="n">
        <f aca="false">'1. Inputs'!B12</f>
        <v>0</v>
      </c>
      <c r="C4" s="11" t="n">
        <f aca="false">'1. Inputs'!C12</f>
        <v>0</v>
      </c>
      <c r="D4" s="11" t="n">
        <f aca="false">'1. Inputs'!D12</f>
        <v>0</v>
      </c>
      <c r="E4" s="11" t="n">
        <f aca="false">'1. Inputs'!E12</f>
        <v>0</v>
      </c>
      <c r="F4" s="11" t="n">
        <f aca="false">'1. Inputs'!F12</f>
        <v>0</v>
      </c>
      <c r="G4" s="11" t="n">
        <f aca="false">'1. Inputs'!G12</f>
        <v>0</v>
      </c>
      <c r="H4" s="11" t="n">
        <f aca="false">'1. Inputs'!H12</f>
        <v>0</v>
      </c>
      <c r="I4" s="11" t="n">
        <f aca="false">'1. Inputs'!I12</f>
        <v>0</v>
      </c>
      <c r="J4" s="11" t="n">
        <f aca="false">'1. Inputs'!J12</f>
        <v>0</v>
      </c>
      <c r="K4" s="11" t="n">
        <f aca="false">'1. Inputs'!K12</f>
        <v>0</v>
      </c>
      <c r="L4" s="11" t="n">
        <f aca="false">'1. Inputs'!L12</f>
        <v>0</v>
      </c>
    </row>
    <row r="5" customFormat="false" ht="15" hidden="false" customHeight="true" outlineLevel="0" collapsed="false">
      <c r="A5" s="9" t="s">
        <v>123</v>
      </c>
      <c r="B5" s="12" t="s">
        <v>124</v>
      </c>
      <c r="C5" s="12" t="str">
        <f aca="false">IF(OR('1. Inputs'!B12=0,'1. Inputs'!B12=""),"-",('1. Inputs'!C12-'1. Inputs'!B12)/ABS('1. Inputs'!B12))</f>
        <v>-</v>
      </c>
      <c r="D5" s="12" t="str">
        <f aca="false">IF(OR('1. Inputs'!C12=0,'1. Inputs'!C12=""),"-",('1. Inputs'!D12-'1. Inputs'!C12)/ABS('1. Inputs'!C12))</f>
        <v>-</v>
      </c>
      <c r="E5" s="12" t="str">
        <f aca="false">IF(OR('1. Inputs'!D12=0,'1. Inputs'!D12=""),"-",('1. Inputs'!E12-'1. Inputs'!D12)/ABS('1. Inputs'!D12))</f>
        <v>-</v>
      </c>
      <c r="F5" s="12" t="str">
        <f aca="false">IF(OR('1. Inputs'!E12=0,'1. Inputs'!E12=""),"-",('1. Inputs'!F12-'1. Inputs'!E12)/ABS('1. Inputs'!E12))</f>
        <v>-</v>
      </c>
      <c r="G5" s="12" t="str">
        <f aca="false">IF(OR('1. Inputs'!F12=0,'1. Inputs'!F12=""),"-",('1. Inputs'!G12-'1. Inputs'!F12)/ABS('1. Inputs'!F12))</f>
        <v>-</v>
      </c>
      <c r="H5" s="12" t="str">
        <f aca="false">IF(OR('1. Inputs'!G12=0,'1. Inputs'!G12=""),"-",('1. Inputs'!H12-'1. Inputs'!G12)/ABS('1. Inputs'!G12))</f>
        <v>-</v>
      </c>
      <c r="I5" s="12" t="str">
        <f aca="false">IF(OR('1. Inputs'!H12=0,'1. Inputs'!H12=""),"-",('1. Inputs'!I12-'1. Inputs'!H12)/ABS('1. Inputs'!H12))</f>
        <v>-</v>
      </c>
      <c r="J5" s="12" t="str">
        <f aca="false">IF(OR('1. Inputs'!I12=0,'1. Inputs'!I12=""),"-",('1. Inputs'!J12-'1. Inputs'!I12)/ABS('1. Inputs'!I12))</f>
        <v>-</v>
      </c>
      <c r="K5" s="12" t="str">
        <f aca="false">IF(OR('1. Inputs'!J12=0,'1. Inputs'!J12=""),"-",('1. Inputs'!K12-'1. Inputs'!J12)/ABS('1. Inputs'!J12))</f>
        <v>-</v>
      </c>
      <c r="L5" s="12" t="str">
        <f aca="false">IF(OR('1. Inputs'!K12=0,'1. Inputs'!K12=""),"-",('1. Inputs'!L12-'1. Inputs'!K12)/ABS('1. Inputs'!K12))</f>
        <v>-</v>
      </c>
    </row>
    <row r="6" customFormat="false" ht="15" hidden="false" customHeight="true" outlineLevel="0" collapsed="false">
      <c r="A6" s="9" t="s">
        <v>59</v>
      </c>
      <c r="B6" s="11" t="n">
        <f aca="false">'1. Inputs'!B13</f>
        <v>0</v>
      </c>
      <c r="C6" s="11" t="n">
        <f aca="false">'1. Inputs'!C13</f>
        <v>0</v>
      </c>
      <c r="D6" s="11" t="n">
        <f aca="false">'1. Inputs'!D13</f>
        <v>0</v>
      </c>
      <c r="E6" s="11" t="n">
        <f aca="false">'1. Inputs'!E13</f>
        <v>0</v>
      </c>
      <c r="F6" s="11" t="n">
        <f aca="false">'1. Inputs'!F13</f>
        <v>0</v>
      </c>
      <c r="G6" s="11" t="n">
        <f aca="false">'1. Inputs'!G13</f>
        <v>0</v>
      </c>
      <c r="H6" s="11" t="n">
        <f aca="false">'1. Inputs'!H13</f>
        <v>0</v>
      </c>
      <c r="I6" s="11" t="n">
        <f aca="false">'1. Inputs'!I13</f>
        <v>0</v>
      </c>
      <c r="J6" s="11" t="n">
        <f aca="false">'1. Inputs'!J13</f>
        <v>0</v>
      </c>
      <c r="K6" s="11" t="n">
        <f aca="false">'1. Inputs'!K13</f>
        <v>0</v>
      </c>
      <c r="L6" s="11" t="n">
        <f aca="false">'1. Inputs'!L13</f>
        <v>0</v>
      </c>
    </row>
    <row r="7" customFormat="false" ht="15" hidden="false" customHeight="true" outlineLevel="0" collapsed="false">
      <c r="A7" s="9" t="s">
        <v>125</v>
      </c>
      <c r="B7" s="12" t="str">
        <f aca="false">IF(OR('1. Inputs'!B12=0,'1. Inputs'!B12=""),"-",'1. Inputs'!B13/'1. Inputs'!B12)</f>
        <v>-</v>
      </c>
      <c r="C7" s="12" t="str">
        <f aca="false">IF(OR('1. Inputs'!C12=0,'1. Inputs'!C12=""),"-",'1. Inputs'!C13/'1. Inputs'!C12)</f>
        <v>-</v>
      </c>
      <c r="D7" s="12" t="str">
        <f aca="false">IF(OR('1. Inputs'!D12=0,'1. Inputs'!D12=""),"-",'1. Inputs'!D13/'1. Inputs'!D12)</f>
        <v>-</v>
      </c>
      <c r="E7" s="12" t="str">
        <f aca="false">IF(OR('1. Inputs'!E12=0,'1. Inputs'!E12=""),"-",'1. Inputs'!E13/'1. Inputs'!E12)</f>
        <v>-</v>
      </c>
      <c r="F7" s="12" t="str">
        <f aca="false">IF(OR('1. Inputs'!F12=0,'1. Inputs'!F12=""),"-",'1. Inputs'!F13/'1. Inputs'!F12)</f>
        <v>-</v>
      </c>
      <c r="G7" s="12" t="str">
        <f aca="false">IF(OR('1. Inputs'!G12=0,'1. Inputs'!G12=""),"-",'1. Inputs'!G13/'1. Inputs'!G12)</f>
        <v>-</v>
      </c>
      <c r="H7" s="12" t="str">
        <f aca="false">IF(OR('1. Inputs'!H12=0,'1. Inputs'!H12=""),"-",'1. Inputs'!H13/'1. Inputs'!H12)</f>
        <v>-</v>
      </c>
      <c r="I7" s="12" t="str">
        <f aca="false">IF(OR('1. Inputs'!I12=0,'1. Inputs'!I12=""),"-",'1. Inputs'!I13/'1. Inputs'!I12)</f>
        <v>-</v>
      </c>
      <c r="J7" s="12" t="str">
        <f aca="false">IF(OR('1. Inputs'!J12=0,'1. Inputs'!J12=""),"-",'1. Inputs'!J13/'1. Inputs'!J12)</f>
        <v>-</v>
      </c>
      <c r="K7" s="12" t="str">
        <f aca="false">IF(OR('1. Inputs'!K12=0,'1. Inputs'!K12=""),"-",'1. Inputs'!K13/'1. Inputs'!K12)</f>
        <v>-</v>
      </c>
      <c r="L7" s="12" t="str">
        <f aca="false">IF(OR('1. Inputs'!L12=0,'1. Inputs'!L12=""),"-",'1. Inputs'!L13/'1. Inputs'!L12)</f>
        <v>-</v>
      </c>
    </row>
    <row r="8" customFormat="false" ht="15" hidden="false" customHeight="true" outlineLevel="0" collapsed="false">
      <c r="A8" s="9" t="s">
        <v>126</v>
      </c>
      <c r="B8" s="11" t="n">
        <f aca="false">'1. Inputs'!B14</f>
        <v>0</v>
      </c>
      <c r="C8" s="11" t="n">
        <f aca="false">'1. Inputs'!C14</f>
        <v>0</v>
      </c>
      <c r="D8" s="11" t="n">
        <f aca="false">'1. Inputs'!D14</f>
        <v>0</v>
      </c>
      <c r="E8" s="11" t="n">
        <f aca="false">'1. Inputs'!E14</f>
        <v>0</v>
      </c>
      <c r="F8" s="11" t="n">
        <f aca="false">'1. Inputs'!F14</f>
        <v>0</v>
      </c>
      <c r="G8" s="11" t="n">
        <f aca="false">'1. Inputs'!G14</f>
        <v>0</v>
      </c>
      <c r="H8" s="11" t="n">
        <f aca="false">'1. Inputs'!H14</f>
        <v>0</v>
      </c>
      <c r="I8" s="11" t="n">
        <f aca="false">'1. Inputs'!I14</f>
        <v>0</v>
      </c>
      <c r="J8" s="11" t="n">
        <f aca="false">'1. Inputs'!J14</f>
        <v>0</v>
      </c>
      <c r="K8" s="11" t="n">
        <f aca="false">'1. Inputs'!K14</f>
        <v>0</v>
      </c>
      <c r="L8" s="11" t="n">
        <f aca="false">'1. Inputs'!L14</f>
        <v>0</v>
      </c>
    </row>
    <row r="9" customFormat="false" ht="15" hidden="false" customHeight="true" outlineLevel="0" collapsed="false">
      <c r="A9" s="9" t="s">
        <v>127</v>
      </c>
      <c r="B9" s="11" t="n">
        <f aca="false">'1. Inputs'!B13-'1. Inputs'!B14</f>
        <v>0</v>
      </c>
      <c r="C9" s="11" t="n">
        <f aca="false">'1. Inputs'!C13-'1. Inputs'!C14</f>
        <v>0</v>
      </c>
      <c r="D9" s="11" t="n">
        <f aca="false">'1. Inputs'!D13-'1. Inputs'!D14</f>
        <v>0</v>
      </c>
      <c r="E9" s="11" t="n">
        <f aca="false">'1. Inputs'!E13-'1. Inputs'!E14</f>
        <v>0</v>
      </c>
      <c r="F9" s="11" t="n">
        <f aca="false">'1. Inputs'!F13-'1. Inputs'!F14</f>
        <v>0</v>
      </c>
      <c r="G9" s="11" t="n">
        <f aca="false">'1. Inputs'!G13-'1. Inputs'!G14</f>
        <v>0</v>
      </c>
      <c r="H9" s="11" t="n">
        <f aca="false">'1. Inputs'!H13-'1. Inputs'!H14</f>
        <v>0</v>
      </c>
      <c r="I9" s="11" t="n">
        <f aca="false">'1. Inputs'!I13-'1. Inputs'!I14</f>
        <v>0</v>
      </c>
      <c r="J9" s="11" t="n">
        <f aca="false">'1. Inputs'!J13-'1. Inputs'!J14</f>
        <v>0</v>
      </c>
      <c r="K9" s="11" t="n">
        <f aca="false">'1. Inputs'!K13-'1. Inputs'!K14</f>
        <v>0</v>
      </c>
      <c r="L9" s="11" t="n">
        <f aca="false">'1. Inputs'!L13-'1. Inputs'!L14</f>
        <v>0</v>
      </c>
    </row>
    <row r="10" customFormat="false" ht="15" hidden="false" customHeight="true" outlineLevel="0" collapsed="false">
      <c r="A10" s="9" t="s">
        <v>61</v>
      </c>
      <c r="B10" s="11" t="n">
        <f aca="false">'1. Inputs'!B15</f>
        <v>0</v>
      </c>
      <c r="C10" s="11" t="n">
        <f aca="false">'1. Inputs'!C15</f>
        <v>0</v>
      </c>
      <c r="D10" s="11" t="n">
        <f aca="false">'1. Inputs'!D15</f>
        <v>0</v>
      </c>
      <c r="E10" s="11" t="n">
        <f aca="false">'1. Inputs'!E15</f>
        <v>0</v>
      </c>
      <c r="F10" s="11" t="n">
        <f aca="false">'1. Inputs'!F15</f>
        <v>0</v>
      </c>
      <c r="G10" s="11" t="n">
        <f aca="false">'1. Inputs'!G15</f>
        <v>0</v>
      </c>
      <c r="H10" s="11" t="n">
        <f aca="false">'1. Inputs'!H15</f>
        <v>0</v>
      </c>
      <c r="I10" s="11" t="n">
        <f aca="false">'1. Inputs'!I15</f>
        <v>0</v>
      </c>
      <c r="J10" s="11" t="n">
        <f aca="false">'1. Inputs'!J15</f>
        <v>0</v>
      </c>
      <c r="K10" s="11" t="n">
        <f aca="false">'1. Inputs'!K15</f>
        <v>0</v>
      </c>
      <c r="L10" s="11" t="n">
        <f aca="false">'1. Inputs'!L15</f>
        <v>0</v>
      </c>
    </row>
    <row r="11" customFormat="false" ht="15" hidden="false" customHeight="true" outlineLevel="0" collapsed="false">
      <c r="A11" s="9" t="s">
        <v>128</v>
      </c>
      <c r="B11" s="11" t="n">
        <f aca="false">'1. Inputs'!B16</f>
        <v>0</v>
      </c>
      <c r="C11" s="11" t="n">
        <f aca="false">'1. Inputs'!C16</f>
        <v>0</v>
      </c>
      <c r="D11" s="11" t="n">
        <f aca="false">'1. Inputs'!D16</f>
        <v>0</v>
      </c>
      <c r="E11" s="11" t="n">
        <f aca="false">'1. Inputs'!E16</f>
        <v>0</v>
      </c>
      <c r="F11" s="11" t="n">
        <f aca="false">'1. Inputs'!F16</f>
        <v>0</v>
      </c>
      <c r="G11" s="11" t="n">
        <f aca="false">'1. Inputs'!G16</f>
        <v>0</v>
      </c>
      <c r="H11" s="11" t="n">
        <f aca="false">'1. Inputs'!H16</f>
        <v>0</v>
      </c>
      <c r="I11" s="11" t="n">
        <f aca="false">'1. Inputs'!I16</f>
        <v>0</v>
      </c>
      <c r="J11" s="11" t="n">
        <f aca="false">'1. Inputs'!J16</f>
        <v>0</v>
      </c>
      <c r="K11" s="11" t="n">
        <f aca="false">'1. Inputs'!K16</f>
        <v>0</v>
      </c>
      <c r="L11" s="11" t="n">
        <f aca="false">'1. Inputs'!L16</f>
        <v>0</v>
      </c>
    </row>
    <row r="12" customFormat="false" ht="15" hidden="false" customHeight="true" outlineLevel="0" collapsed="false">
      <c r="A12" s="9" t="s">
        <v>63</v>
      </c>
      <c r="B12" s="11" t="n">
        <f aca="false">'1. Inputs'!B17</f>
        <v>0</v>
      </c>
      <c r="C12" s="11" t="n">
        <f aca="false">'1. Inputs'!C17</f>
        <v>0</v>
      </c>
      <c r="D12" s="11" t="n">
        <f aca="false">'1. Inputs'!D17</f>
        <v>0</v>
      </c>
      <c r="E12" s="11" t="n">
        <f aca="false">'1. Inputs'!E17</f>
        <v>0</v>
      </c>
      <c r="F12" s="11" t="n">
        <f aca="false">'1. Inputs'!F17</f>
        <v>0</v>
      </c>
      <c r="G12" s="11" t="n">
        <f aca="false">'1. Inputs'!G17</f>
        <v>0</v>
      </c>
      <c r="H12" s="11" t="n">
        <f aca="false">'1. Inputs'!H17</f>
        <v>0</v>
      </c>
      <c r="I12" s="11" t="n">
        <f aca="false">'1. Inputs'!I17</f>
        <v>0</v>
      </c>
      <c r="J12" s="11" t="n">
        <f aca="false">'1. Inputs'!J17</f>
        <v>0</v>
      </c>
      <c r="K12" s="11" t="n">
        <f aca="false">'1. Inputs'!K17</f>
        <v>0</v>
      </c>
      <c r="L12" s="11" t="n">
        <f aca="false">'1. Inputs'!L17</f>
        <v>0</v>
      </c>
    </row>
    <row r="13" customFormat="false" ht="15" hidden="false" customHeight="true" outlineLevel="0" collapsed="false">
      <c r="A13" s="9" t="s">
        <v>129</v>
      </c>
      <c r="B13" s="12" t="str">
        <f aca="false">IF(OR('1. Inputs'!B16=0,'1. Inputs'!B16=""),"-",'1. Inputs'!B17/'1. Inputs'!B16)</f>
        <v>-</v>
      </c>
      <c r="C13" s="12" t="str">
        <f aca="false">IF(OR('1. Inputs'!C16=0,'1. Inputs'!C16=""),"-",'1. Inputs'!C17/'1. Inputs'!C16)</f>
        <v>-</v>
      </c>
      <c r="D13" s="12" t="str">
        <f aca="false">IF(OR('1. Inputs'!D16=0,'1. Inputs'!D16=""),"-",'1. Inputs'!D17/'1. Inputs'!D16)</f>
        <v>-</v>
      </c>
      <c r="E13" s="12" t="str">
        <f aca="false">IF(OR('1. Inputs'!E16=0,'1. Inputs'!E16=""),"-",'1. Inputs'!E17/'1. Inputs'!E16)</f>
        <v>-</v>
      </c>
      <c r="F13" s="12" t="str">
        <f aca="false">IF(OR('1. Inputs'!F16=0,'1. Inputs'!F16=""),"-",'1. Inputs'!F17/'1. Inputs'!F16)</f>
        <v>-</v>
      </c>
      <c r="G13" s="12" t="str">
        <f aca="false">IF(OR('1. Inputs'!G16=0,'1. Inputs'!G16=""),"-",'1. Inputs'!G17/'1. Inputs'!G16)</f>
        <v>-</v>
      </c>
      <c r="H13" s="12" t="str">
        <f aca="false">IF(OR('1. Inputs'!H16=0,'1. Inputs'!H16=""),"-",'1. Inputs'!H17/'1. Inputs'!H16)</f>
        <v>-</v>
      </c>
      <c r="I13" s="12" t="str">
        <f aca="false">IF(OR('1. Inputs'!I16=0,'1. Inputs'!I16=""),"-",'1. Inputs'!I17/'1. Inputs'!I16)</f>
        <v>-</v>
      </c>
      <c r="J13" s="12" t="str">
        <f aca="false">IF(OR('1. Inputs'!J16=0,'1. Inputs'!J16=""),"-",'1. Inputs'!J17/'1. Inputs'!J16)</f>
        <v>-</v>
      </c>
      <c r="K13" s="12" t="str">
        <f aca="false">IF(OR('1. Inputs'!K16=0,'1. Inputs'!K16=""),"-",'1. Inputs'!K17/'1. Inputs'!K16)</f>
        <v>-</v>
      </c>
      <c r="L13" s="12" t="str">
        <f aca="false">IF(OR('1. Inputs'!L16=0,'1. Inputs'!L16=""),"-",'1. Inputs'!L17/'1. Inputs'!L16)</f>
        <v>-</v>
      </c>
    </row>
    <row r="14" customFormat="false" ht="15" hidden="false" customHeight="true" outlineLevel="0" collapsed="false">
      <c r="A14" s="9" t="s">
        <v>64</v>
      </c>
      <c r="B14" s="11" t="n">
        <f aca="false">'1. Inputs'!B18</f>
        <v>0</v>
      </c>
      <c r="C14" s="11" t="n">
        <f aca="false">'1. Inputs'!C18</f>
        <v>0</v>
      </c>
      <c r="D14" s="11" t="n">
        <f aca="false">'1. Inputs'!D18</f>
        <v>0</v>
      </c>
      <c r="E14" s="11" t="n">
        <f aca="false">'1. Inputs'!E18</f>
        <v>0</v>
      </c>
      <c r="F14" s="11" t="n">
        <f aca="false">'1. Inputs'!F18</f>
        <v>0</v>
      </c>
      <c r="G14" s="11" t="n">
        <f aca="false">'1. Inputs'!G18</f>
        <v>0</v>
      </c>
      <c r="H14" s="11" t="n">
        <f aca="false">'1. Inputs'!H18</f>
        <v>0</v>
      </c>
      <c r="I14" s="11" t="n">
        <f aca="false">'1. Inputs'!I18</f>
        <v>0</v>
      </c>
      <c r="J14" s="11" t="n">
        <f aca="false">'1. Inputs'!J18</f>
        <v>0</v>
      </c>
      <c r="K14" s="11" t="n">
        <f aca="false">'1. Inputs'!K18</f>
        <v>0</v>
      </c>
      <c r="L14" s="11" t="n">
        <f aca="false">'1. Inputs'!L18</f>
        <v>0</v>
      </c>
    </row>
    <row r="15" customFormat="false" ht="15" hidden="false" customHeight="true" outlineLevel="0" collapsed="false">
      <c r="A15" s="9" t="s">
        <v>130</v>
      </c>
      <c r="B15" s="12" t="str">
        <f aca="false">IF(OR('1. Inputs'!B12=0,'1. Inputs'!B12=""),"-",'1. Inputs'!B18/'1. Inputs'!B12)</f>
        <v>-</v>
      </c>
      <c r="C15" s="12" t="str">
        <f aca="false">IF(OR('1. Inputs'!C12=0,'1. Inputs'!C12=""),"-",'1. Inputs'!C18/'1. Inputs'!C12)</f>
        <v>-</v>
      </c>
      <c r="D15" s="12" t="str">
        <f aca="false">IF(OR('1. Inputs'!D12=0,'1. Inputs'!D12=""),"-",'1. Inputs'!D18/'1. Inputs'!D12)</f>
        <v>-</v>
      </c>
      <c r="E15" s="12" t="str">
        <f aca="false">IF(OR('1. Inputs'!E12=0,'1. Inputs'!E12=""),"-",'1. Inputs'!E18/'1. Inputs'!E12)</f>
        <v>-</v>
      </c>
      <c r="F15" s="12" t="str">
        <f aca="false">IF(OR('1. Inputs'!F12=0,'1. Inputs'!F12=""),"-",'1. Inputs'!F18/'1. Inputs'!F12)</f>
        <v>-</v>
      </c>
      <c r="G15" s="12" t="str">
        <f aca="false">IF(OR('1. Inputs'!G12=0,'1. Inputs'!G12=""),"-",'1. Inputs'!G18/'1. Inputs'!G12)</f>
        <v>-</v>
      </c>
      <c r="H15" s="12" t="str">
        <f aca="false">IF(OR('1. Inputs'!H12=0,'1. Inputs'!H12=""),"-",'1. Inputs'!H18/'1. Inputs'!H12)</f>
        <v>-</v>
      </c>
      <c r="I15" s="12" t="str">
        <f aca="false">IF(OR('1. Inputs'!I12=0,'1. Inputs'!I12=""),"-",'1. Inputs'!I18/'1. Inputs'!I12)</f>
        <v>-</v>
      </c>
      <c r="J15" s="12" t="str">
        <f aca="false">IF(OR('1. Inputs'!J12=0,'1. Inputs'!J12=""),"-",'1. Inputs'!J18/'1. Inputs'!J12)</f>
        <v>-</v>
      </c>
      <c r="K15" s="12" t="str">
        <f aca="false">IF(OR('1. Inputs'!K12=0,'1. Inputs'!K12=""),"-",'1. Inputs'!K18/'1. Inputs'!K12)</f>
        <v>-</v>
      </c>
      <c r="L15" s="12" t="str">
        <f aca="false">IF(OR('1. Inputs'!L12=0,'1. Inputs'!L12=""),"-",'1. Inputs'!L18/'1. Inputs'!L12)</f>
        <v>-</v>
      </c>
    </row>
    <row r="16" customFormat="false" ht="15" hidden="false" customHeight="true" outlineLevel="0" collapsed="false">
      <c r="A16" s="9" t="s">
        <v>131</v>
      </c>
      <c r="B16" s="12" t="s">
        <v>124</v>
      </c>
      <c r="C16" s="12" t="str">
        <f aca="false">IF(OR('1. Inputs'!B18=0,'1. Inputs'!B18=""),"-",('1. Inputs'!C18-'1. Inputs'!B18)/ABS('1. Inputs'!B18))</f>
        <v>-</v>
      </c>
      <c r="D16" s="12" t="str">
        <f aca="false">IF(OR('1. Inputs'!C18=0,'1. Inputs'!C18=""),"-",('1. Inputs'!D18-'1. Inputs'!C18)/ABS('1. Inputs'!C18))</f>
        <v>-</v>
      </c>
      <c r="E16" s="12" t="str">
        <f aca="false">IF(OR('1. Inputs'!D18=0,'1. Inputs'!D18=""),"-",('1. Inputs'!E18-'1. Inputs'!D18)/ABS('1. Inputs'!D18))</f>
        <v>-</v>
      </c>
      <c r="F16" s="12" t="str">
        <f aca="false">IF(OR('1. Inputs'!E18=0,'1. Inputs'!E18=""),"-",('1. Inputs'!F18-'1. Inputs'!E18)/ABS('1. Inputs'!E18))</f>
        <v>-</v>
      </c>
      <c r="G16" s="12" t="str">
        <f aca="false">IF(OR('1. Inputs'!F18=0,'1. Inputs'!F18=""),"-",('1. Inputs'!G18-'1. Inputs'!F18)/ABS('1. Inputs'!F18))</f>
        <v>-</v>
      </c>
      <c r="H16" s="12" t="str">
        <f aca="false">IF(OR('1. Inputs'!G18=0,'1. Inputs'!G18=""),"-",('1. Inputs'!H18-'1. Inputs'!G18)/ABS('1. Inputs'!G18))</f>
        <v>-</v>
      </c>
      <c r="I16" s="12" t="str">
        <f aca="false">IF(OR('1. Inputs'!H18=0,'1. Inputs'!H18=""),"-",('1. Inputs'!I18-'1. Inputs'!H18)/ABS('1. Inputs'!H18))</f>
        <v>-</v>
      </c>
      <c r="J16" s="12" t="str">
        <f aca="false">IF(OR('1. Inputs'!I18=0,'1. Inputs'!I18=""),"-",('1. Inputs'!J18-'1. Inputs'!I18)/ABS('1. Inputs'!I18))</f>
        <v>-</v>
      </c>
      <c r="K16" s="12" t="str">
        <f aca="false">IF(OR('1. Inputs'!J18=0,'1. Inputs'!J18=""),"-",('1. Inputs'!K18-'1. Inputs'!J18)/ABS('1. Inputs'!J18))</f>
        <v>-</v>
      </c>
      <c r="L16" s="12" t="str">
        <f aca="false">IF(OR('1. Inputs'!K18=0,'1. Inputs'!K18=""),"-",('1. Inputs'!L18-'1. Inputs'!K18)/ABS('1. Inputs'!K18))</f>
        <v>-</v>
      </c>
    </row>
    <row r="17" customFormat="false" ht="15" hidden="false" customHeight="true" outlineLevel="0" collapsed="false">
      <c r="A17" s="9" t="s">
        <v>132</v>
      </c>
      <c r="B17" s="11" t="n">
        <f aca="false">'1. Inputs'!B19</f>
        <v>0</v>
      </c>
      <c r="C17" s="11" t="n">
        <f aca="false">'1. Inputs'!C19</f>
        <v>0</v>
      </c>
      <c r="D17" s="11" t="n">
        <f aca="false">'1. Inputs'!D19</f>
        <v>0</v>
      </c>
      <c r="E17" s="11" t="n">
        <f aca="false">'1. Inputs'!E19</f>
        <v>0</v>
      </c>
      <c r="F17" s="11" t="n">
        <f aca="false">'1. Inputs'!F19</f>
        <v>0</v>
      </c>
      <c r="G17" s="11" t="n">
        <f aca="false">'1. Inputs'!G19</f>
        <v>0</v>
      </c>
      <c r="H17" s="11" t="n">
        <f aca="false">'1. Inputs'!H19</f>
        <v>0</v>
      </c>
      <c r="I17" s="11" t="n">
        <f aca="false">'1. Inputs'!I19</f>
        <v>0</v>
      </c>
      <c r="J17" s="11" t="n">
        <f aca="false">'1. Inputs'!J19</f>
        <v>0</v>
      </c>
      <c r="K17" s="11" t="n">
        <f aca="false">'1. Inputs'!K19</f>
        <v>0</v>
      </c>
      <c r="L17" s="11" t="n">
        <f aca="false">'1. Inputs'!L19</f>
        <v>0</v>
      </c>
    </row>
    <row r="18" customFormat="false" ht="15" hidden="false" customHeight="true" outlineLevel="0" collapsed="false">
      <c r="A18" s="9" t="s">
        <v>133</v>
      </c>
      <c r="B18" s="12" t="s">
        <v>124</v>
      </c>
      <c r="C18" s="12" t="str">
        <f aca="false">IF(OR('1. Inputs'!B19=0,'1. Inputs'!B19=""),"-",('1. Inputs'!C19-'1. Inputs'!B19)/ABS('1. Inputs'!B19))</f>
        <v>-</v>
      </c>
      <c r="D18" s="12" t="str">
        <f aca="false">IF(OR('1. Inputs'!C19=0,'1. Inputs'!C19=""),"-",('1. Inputs'!D19-'1. Inputs'!C19)/ABS('1. Inputs'!C19))</f>
        <v>-</v>
      </c>
      <c r="E18" s="12" t="str">
        <f aca="false">IF(OR('1. Inputs'!D19=0,'1. Inputs'!D19=""),"-",('1. Inputs'!E19-'1. Inputs'!D19)/ABS('1. Inputs'!D19))</f>
        <v>-</v>
      </c>
      <c r="F18" s="12" t="str">
        <f aca="false">IF(OR('1. Inputs'!E19=0,'1. Inputs'!E19=""),"-",('1. Inputs'!F19-'1. Inputs'!E19)/ABS('1. Inputs'!E19))</f>
        <v>-</v>
      </c>
      <c r="G18" s="12" t="str">
        <f aca="false">IF(OR('1. Inputs'!F19=0,'1. Inputs'!F19=""),"-",('1. Inputs'!G19-'1. Inputs'!F19)/ABS('1. Inputs'!F19))</f>
        <v>-</v>
      </c>
      <c r="H18" s="12" t="str">
        <f aca="false">IF(OR('1. Inputs'!G19=0,'1. Inputs'!G19=""),"-",('1. Inputs'!H19-'1. Inputs'!G19)/ABS('1. Inputs'!G19))</f>
        <v>-</v>
      </c>
      <c r="I18" s="12" t="str">
        <f aca="false">IF(OR('1. Inputs'!H19=0,'1. Inputs'!H19=""),"-",('1. Inputs'!I19-'1. Inputs'!H19)/ABS('1. Inputs'!H19))</f>
        <v>-</v>
      </c>
      <c r="J18" s="12" t="str">
        <f aca="false">IF(OR('1. Inputs'!I19=0,'1. Inputs'!I19=""),"-",('1. Inputs'!J19-'1. Inputs'!I19)/ABS('1. Inputs'!I19))</f>
        <v>-</v>
      </c>
      <c r="K18" s="12" t="str">
        <f aca="false">IF(OR('1. Inputs'!J19=0,'1. Inputs'!J19=""),"-",('1. Inputs'!K19-'1. Inputs'!J19)/ABS('1. Inputs'!J19))</f>
        <v>-</v>
      </c>
      <c r="L18" s="12" t="str">
        <f aca="false">IF(OR('1. Inputs'!K19=0,'1. Inputs'!K19=""),"-",('1. Inputs'!L19-'1. Inputs'!K19)/ABS('1. Inputs'!K19))</f>
        <v>-</v>
      </c>
    </row>
    <row r="19" customFormat="false" ht="15" hidden="false" customHeight="true" outlineLevel="0" collapsed="false">
      <c r="A19" s="9" t="s">
        <v>134</v>
      </c>
      <c r="B19" s="11" t="n">
        <f aca="false">'1. Inputs'!B20</f>
        <v>0</v>
      </c>
      <c r="C19" s="11" t="n">
        <f aca="false">'1. Inputs'!C20</f>
        <v>0</v>
      </c>
      <c r="D19" s="11" t="n">
        <f aca="false">'1. Inputs'!D20</f>
        <v>0</v>
      </c>
      <c r="E19" s="11" t="n">
        <f aca="false">'1. Inputs'!E20</f>
        <v>0</v>
      </c>
      <c r="F19" s="11" t="n">
        <f aca="false">'1. Inputs'!F20</f>
        <v>0</v>
      </c>
      <c r="G19" s="11" t="n">
        <f aca="false">'1. Inputs'!G20</f>
        <v>0</v>
      </c>
      <c r="H19" s="11" t="n">
        <f aca="false">'1. Inputs'!H20</f>
        <v>0</v>
      </c>
      <c r="I19" s="11" t="n">
        <f aca="false">'1. Inputs'!I20</f>
        <v>0</v>
      </c>
      <c r="J19" s="11" t="n">
        <f aca="false">'1. Inputs'!J20</f>
        <v>0</v>
      </c>
      <c r="K19" s="11" t="n">
        <f aca="false">'1. Inputs'!K20</f>
        <v>0</v>
      </c>
      <c r="L19" s="11" t="n">
        <f aca="false">'1. Inputs'!L20</f>
        <v>0</v>
      </c>
    </row>
    <row r="20" customFormat="false" ht="15" hidden="false" customHeight="true" outlineLevel="0" collapsed="false">
      <c r="A20" s="9" t="s">
        <v>135</v>
      </c>
      <c r="B20" s="12" t="str">
        <f aca="false">IF(OR('1. Inputs'!B19=0,'1. Inputs'!B19=""),"-",'1. Inputs'!B20/'1. Inputs'!B19)</f>
        <v>-</v>
      </c>
      <c r="C20" s="12" t="str">
        <f aca="false">IF(OR('1. Inputs'!C19=0,'1. Inputs'!C19=""),"-",'1. Inputs'!C20/'1. Inputs'!C19)</f>
        <v>-</v>
      </c>
      <c r="D20" s="12" t="str">
        <f aca="false">IF(OR('1. Inputs'!D19=0,'1. Inputs'!D19=""),"-",'1. Inputs'!D20/'1. Inputs'!D19)</f>
        <v>-</v>
      </c>
      <c r="E20" s="12" t="str">
        <f aca="false">IF(OR('1. Inputs'!E19=0,'1. Inputs'!E19=""),"-",'1. Inputs'!E20/'1. Inputs'!E19)</f>
        <v>-</v>
      </c>
      <c r="F20" s="12" t="str">
        <f aca="false">IF(OR('1. Inputs'!F19=0,'1. Inputs'!F19=""),"-",'1. Inputs'!F20/'1. Inputs'!F19)</f>
        <v>-</v>
      </c>
      <c r="G20" s="12" t="str">
        <f aca="false">IF(OR('1. Inputs'!G19=0,'1. Inputs'!G19=""),"-",'1. Inputs'!G20/'1. Inputs'!G19)</f>
        <v>-</v>
      </c>
      <c r="H20" s="12" t="str">
        <f aca="false">IF(OR('1. Inputs'!H19=0,'1. Inputs'!H19=""),"-",'1. Inputs'!H20/'1. Inputs'!H19)</f>
        <v>-</v>
      </c>
      <c r="I20" s="12" t="str">
        <f aca="false">IF(OR('1. Inputs'!I19=0,'1. Inputs'!I19=""),"-",'1. Inputs'!I20/'1. Inputs'!I19)</f>
        <v>-</v>
      </c>
      <c r="J20" s="12" t="str">
        <f aca="false">IF(OR('1. Inputs'!J19=0,'1. Inputs'!J19=""),"-",'1. Inputs'!J20/'1. Inputs'!J19)</f>
        <v>-</v>
      </c>
      <c r="K20" s="12" t="str">
        <f aca="false">IF(OR('1. Inputs'!K19=0,'1. Inputs'!K19=""),"-",'1. Inputs'!K20/'1. Inputs'!K19)</f>
        <v>-</v>
      </c>
      <c r="L20" s="12" t="str">
        <f aca="false">IF(OR('1. Inputs'!L19=0,'1. Inputs'!L19=""),"-",'1. Inputs'!L20/'1. Inputs'!L19)</f>
        <v>-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12" min="2" style="1" width="14"/>
  </cols>
  <sheetData>
    <row r="1" customFormat="false" ht="15.75" hidden="false" customHeight="true" outlineLevel="0" collapsed="false">
      <c r="A1" s="10" t="s">
        <v>136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3" customFormat="false" ht="15" hidden="false" customHeight="true" outlineLevel="0" collapsed="false">
      <c r="A3" s="7" t="s">
        <v>45</v>
      </c>
      <c r="B3" s="7" t="n">
        <f aca="false">'1. Inputs'!B11</f>
        <v>0</v>
      </c>
      <c r="C3" s="7" t="n">
        <f aca="false">'1. Inputs'!C11</f>
        <v>0</v>
      </c>
      <c r="D3" s="7" t="n">
        <f aca="false">'1. Inputs'!D11</f>
        <v>0</v>
      </c>
      <c r="E3" s="7" t="n">
        <f aca="false">'1. Inputs'!E11</f>
        <v>0</v>
      </c>
      <c r="F3" s="7" t="n">
        <f aca="false">'1. Inputs'!F11</f>
        <v>0</v>
      </c>
      <c r="G3" s="7" t="n">
        <f aca="false">'1. Inputs'!G11</f>
        <v>0</v>
      </c>
      <c r="H3" s="7" t="n">
        <f aca="false">'1. Inputs'!H11</f>
        <v>0</v>
      </c>
      <c r="I3" s="7" t="n">
        <f aca="false">'1. Inputs'!I11</f>
        <v>0</v>
      </c>
      <c r="J3" s="7" t="n">
        <f aca="false">'1. Inputs'!J11</f>
        <v>0</v>
      </c>
      <c r="K3" s="7" t="n">
        <f aca="false">'1. Inputs'!K11</f>
        <v>0</v>
      </c>
      <c r="L3" s="7" t="n">
        <f aca="false">'1. Inputs'!L11</f>
        <v>0</v>
      </c>
    </row>
    <row r="4" customFormat="false" ht="15" hidden="false" customHeight="true" outlineLevel="0" collapsed="false">
      <c r="A4" s="9" t="s">
        <v>75</v>
      </c>
      <c r="B4" s="11" t="n">
        <f aca="false">'1. Inputs'!B32</f>
        <v>0</v>
      </c>
      <c r="C4" s="11" t="n">
        <f aca="false">'1. Inputs'!C32</f>
        <v>0</v>
      </c>
      <c r="D4" s="11" t="n">
        <f aca="false">'1. Inputs'!D32</f>
        <v>0</v>
      </c>
      <c r="E4" s="11" t="n">
        <f aca="false">'1. Inputs'!E32</f>
        <v>0</v>
      </c>
      <c r="F4" s="11" t="n">
        <f aca="false">'1. Inputs'!F32</f>
        <v>0</v>
      </c>
      <c r="G4" s="11" t="n">
        <f aca="false">'1. Inputs'!G32</f>
        <v>0</v>
      </c>
      <c r="H4" s="11" t="n">
        <f aca="false">'1. Inputs'!H32</f>
        <v>0</v>
      </c>
      <c r="I4" s="11" t="n">
        <f aca="false">'1. Inputs'!I32</f>
        <v>0</v>
      </c>
      <c r="J4" s="11" t="n">
        <f aca="false">'1. Inputs'!J32</f>
        <v>0</v>
      </c>
      <c r="K4" s="11" t="n">
        <f aca="false">'1. Inputs'!K32</f>
        <v>0</v>
      </c>
      <c r="L4" s="11" t="n">
        <f aca="false">'1. Inputs'!L32</f>
        <v>0</v>
      </c>
    </row>
    <row r="5" customFormat="false" ht="15" hidden="false" customHeight="true" outlineLevel="0" collapsed="false">
      <c r="A5" s="9" t="s">
        <v>137</v>
      </c>
      <c r="B5" s="12" t="s">
        <v>124</v>
      </c>
      <c r="C5" s="12" t="str">
        <f aca="false">IF(OR('1. Inputs'!B32=0,'1. Inputs'!B32=""),"-",('1. Inputs'!C32-'1. Inputs'!B32)/ABS('1. Inputs'!B32))</f>
        <v>-</v>
      </c>
      <c r="D5" s="12" t="str">
        <f aca="false">IF(OR('1. Inputs'!C32=0,'1. Inputs'!C32=""),"-",('1. Inputs'!D32-'1. Inputs'!C32)/ABS('1. Inputs'!C32))</f>
        <v>-</v>
      </c>
      <c r="E5" s="12" t="str">
        <f aca="false">IF(OR('1. Inputs'!D32=0,'1. Inputs'!D32=""),"-",('1. Inputs'!E32-'1. Inputs'!D32)/ABS('1. Inputs'!D32))</f>
        <v>-</v>
      </c>
      <c r="F5" s="12" t="str">
        <f aca="false">IF(OR('1. Inputs'!E32=0,'1. Inputs'!E32=""),"-",('1. Inputs'!F32-'1. Inputs'!E32)/ABS('1. Inputs'!E32))</f>
        <v>-</v>
      </c>
      <c r="G5" s="12" t="str">
        <f aca="false">IF(OR('1. Inputs'!F32=0,'1. Inputs'!F32=""),"-",('1. Inputs'!G32-'1. Inputs'!F32)/ABS('1. Inputs'!F32))</f>
        <v>-</v>
      </c>
      <c r="H5" s="12" t="str">
        <f aca="false">IF(OR('1. Inputs'!G32=0,'1. Inputs'!G32=""),"-",('1. Inputs'!H32-'1. Inputs'!G32)/ABS('1. Inputs'!G32))</f>
        <v>-</v>
      </c>
      <c r="I5" s="12" t="str">
        <f aca="false">IF(OR('1. Inputs'!H32=0,'1. Inputs'!H32=""),"-",('1. Inputs'!I32-'1. Inputs'!H32)/ABS('1. Inputs'!H32))</f>
        <v>-</v>
      </c>
      <c r="J5" s="12" t="str">
        <f aca="false">IF(OR('1. Inputs'!I32=0,'1. Inputs'!I32=""),"-",('1. Inputs'!J32-'1. Inputs'!I32)/ABS('1. Inputs'!I32))</f>
        <v>-</v>
      </c>
      <c r="K5" s="12" t="str">
        <f aca="false">IF(OR('1. Inputs'!J32=0,'1. Inputs'!J32=""),"-",('1. Inputs'!K32-'1. Inputs'!J32)/ABS('1. Inputs'!J32))</f>
        <v>-</v>
      </c>
      <c r="L5" s="12" t="str">
        <f aca="false">IF(OR('1. Inputs'!K32=0,'1. Inputs'!K32=""),"-",('1. Inputs'!L32-'1. Inputs'!K32)/ABS('1. Inputs'!K32))</f>
        <v>-</v>
      </c>
    </row>
    <row r="6" customFormat="false" ht="15" hidden="false" customHeight="true" outlineLevel="0" collapsed="false">
      <c r="A6" s="9" t="s">
        <v>76</v>
      </c>
      <c r="B6" s="11" t="n">
        <f aca="false">'1. Inputs'!B33</f>
        <v>0</v>
      </c>
      <c r="C6" s="11" t="n">
        <f aca="false">'1. Inputs'!C33</f>
        <v>0</v>
      </c>
      <c r="D6" s="11" t="n">
        <f aca="false">'1. Inputs'!D33</f>
        <v>0</v>
      </c>
      <c r="E6" s="11" t="n">
        <f aca="false">'1. Inputs'!E33</f>
        <v>0</v>
      </c>
      <c r="F6" s="11" t="n">
        <f aca="false">'1. Inputs'!F33</f>
        <v>0</v>
      </c>
      <c r="G6" s="11" t="n">
        <f aca="false">'1. Inputs'!G33</f>
        <v>0</v>
      </c>
      <c r="H6" s="11" t="n">
        <f aca="false">'1. Inputs'!H33</f>
        <v>0</v>
      </c>
      <c r="I6" s="11" t="n">
        <f aca="false">'1. Inputs'!I33</f>
        <v>0</v>
      </c>
      <c r="J6" s="11" t="n">
        <f aca="false">'1. Inputs'!J33</f>
        <v>0</v>
      </c>
      <c r="K6" s="11" t="n">
        <f aca="false">'1. Inputs'!K33</f>
        <v>0</v>
      </c>
      <c r="L6" s="11" t="n">
        <f aca="false">'1. Inputs'!L33</f>
        <v>0</v>
      </c>
    </row>
    <row r="7" customFormat="false" ht="15" hidden="false" customHeight="true" outlineLevel="0" collapsed="false">
      <c r="A7" s="9" t="s">
        <v>77</v>
      </c>
      <c r="B7" s="11" t="n">
        <f aca="false">'1. Inputs'!B34</f>
        <v>0</v>
      </c>
      <c r="C7" s="11" t="n">
        <f aca="false">'1. Inputs'!C34</f>
        <v>0</v>
      </c>
      <c r="D7" s="11" t="n">
        <f aca="false">'1. Inputs'!D34</f>
        <v>0</v>
      </c>
      <c r="E7" s="11" t="n">
        <f aca="false">'1. Inputs'!E34</f>
        <v>0</v>
      </c>
      <c r="F7" s="11" t="n">
        <f aca="false">'1. Inputs'!F34</f>
        <v>0</v>
      </c>
      <c r="G7" s="11" t="n">
        <f aca="false">'1. Inputs'!G34</f>
        <v>0</v>
      </c>
      <c r="H7" s="11" t="n">
        <f aca="false">'1. Inputs'!H34</f>
        <v>0</v>
      </c>
      <c r="I7" s="11" t="n">
        <f aca="false">'1. Inputs'!I34</f>
        <v>0</v>
      </c>
      <c r="J7" s="11" t="n">
        <f aca="false">'1. Inputs'!J34</f>
        <v>0</v>
      </c>
      <c r="K7" s="11" t="n">
        <f aca="false">'1. Inputs'!K34</f>
        <v>0</v>
      </c>
      <c r="L7" s="11" t="n">
        <f aca="false">'1. Inputs'!L34</f>
        <v>0</v>
      </c>
    </row>
    <row r="8" customFormat="false" ht="15" hidden="false" customHeight="true" outlineLevel="0" collapsed="false">
      <c r="A8" s="9" t="s">
        <v>138</v>
      </c>
      <c r="B8" s="12" t="s">
        <v>124</v>
      </c>
      <c r="C8" s="12" t="str">
        <f aca="false">IF(OR('1. Inputs'!B34=0,'1. Inputs'!B34=""),"-",('1. Inputs'!C34-'1. Inputs'!B34)/ABS('1. Inputs'!B34))</f>
        <v>-</v>
      </c>
      <c r="D8" s="12" t="str">
        <f aca="false">IF(OR('1. Inputs'!C34=0,'1. Inputs'!C34=""),"-",('1. Inputs'!D34-'1. Inputs'!C34)/ABS('1. Inputs'!C34))</f>
        <v>-</v>
      </c>
      <c r="E8" s="12" t="str">
        <f aca="false">IF(OR('1. Inputs'!D34=0,'1. Inputs'!D34=""),"-",('1. Inputs'!E34-'1. Inputs'!D34)/ABS('1. Inputs'!D34))</f>
        <v>-</v>
      </c>
      <c r="F8" s="12" t="str">
        <f aca="false">IF(OR('1. Inputs'!E34=0,'1. Inputs'!E34=""),"-",('1. Inputs'!F34-'1. Inputs'!E34)/ABS('1. Inputs'!E34))</f>
        <v>-</v>
      </c>
      <c r="G8" s="12" t="str">
        <f aca="false">IF(OR('1. Inputs'!F34=0,'1. Inputs'!F34=""),"-",('1. Inputs'!G34-'1. Inputs'!F34)/ABS('1. Inputs'!F34))</f>
        <v>-</v>
      </c>
      <c r="H8" s="12" t="str">
        <f aca="false">IF(OR('1. Inputs'!G34=0,'1. Inputs'!G34=""),"-",('1. Inputs'!H34-'1. Inputs'!G34)/ABS('1. Inputs'!G34))</f>
        <v>-</v>
      </c>
      <c r="I8" s="12" t="str">
        <f aca="false">IF(OR('1. Inputs'!H34=0,'1. Inputs'!H34=""),"-",('1. Inputs'!I34-'1. Inputs'!H34)/ABS('1. Inputs'!H34))</f>
        <v>-</v>
      </c>
      <c r="J8" s="12" t="str">
        <f aca="false">IF(OR('1. Inputs'!I34=0,'1. Inputs'!I34=""),"-",('1. Inputs'!J34-'1. Inputs'!I34)/ABS('1. Inputs'!I34))</f>
        <v>-</v>
      </c>
      <c r="K8" s="12" t="str">
        <f aca="false">IF(OR('1. Inputs'!J34=0,'1. Inputs'!J34=""),"-",('1. Inputs'!K34-'1. Inputs'!J34)/ABS('1. Inputs'!J34))</f>
        <v>-</v>
      </c>
      <c r="L8" s="12" t="str">
        <f aca="false">IF(OR('1. Inputs'!K34=0,'1. Inputs'!K34=""),"-",('1. Inputs'!L34-'1. Inputs'!K34)/ABS('1. Inputs'!K34))</f>
        <v>-</v>
      </c>
    </row>
    <row r="9" customFormat="false" ht="15" hidden="false" customHeight="true" outlineLevel="0" collapsed="false">
      <c r="A9" s="9" t="s">
        <v>139</v>
      </c>
      <c r="B9" s="11" t="n">
        <f aca="false">'1. Inputs'!B35</f>
        <v>0</v>
      </c>
      <c r="C9" s="11" t="n">
        <f aca="false">'1. Inputs'!C35</f>
        <v>0</v>
      </c>
      <c r="D9" s="11" t="n">
        <f aca="false">'1. Inputs'!D35</f>
        <v>0</v>
      </c>
      <c r="E9" s="11" t="n">
        <f aca="false">'1. Inputs'!E35</f>
        <v>0</v>
      </c>
      <c r="F9" s="11" t="n">
        <f aca="false">'1. Inputs'!F35</f>
        <v>0</v>
      </c>
      <c r="G9" s="11" t="n">
        <f aca="false">'1. Inputs'!G35</f>
        <v>0</v>
      </c>
      <c r="H9" s="11" t="n">
        <f aca="false">'1. Inputs'!H35</f>
        <v>0</v>
      </c>
      <c r="I9" s="11" t="n">
        <f aca="false">'1. Inputs'!I35</f>
        <v>0</v>
      </c>
      <c r="J9" s="11" t="n">
        <f aca="false">'1. Inputs'!J35</f>
        <v>0</v>
      </c>
      <c r="K9" s="11" t="n">
        <f aca="false">'1. Inputs'!K35</f>
        <v>0</v>
      </c>
      <c r="L9" s="11" t="n">
        <f aca="false">'1. Inputs'!L35</f>
        <v>0</v>
      </c>
    </row>
    <row r="10" customFormat="false" ht="15" hidden="false" customHeight="true" outlineLevel="0" collapsed="false">
      <c r="A10" s="9" t="s">
        <v>140</v>
      </c>
      <c r="B10" s="11" t="n">
        <f aca="false">'1. Inputs'!B36</f>
        <v>0</v>
      </c>
      <c r="C10" s="11" t="n">
        <f aca="false">'1. Inputs'!C36</f>
        <v>0</v>
      </c>
      <c r="D10" s="11" t="n">
        <f aca="false">'1. Inputs'!D36</f>
        <v>0</v>
      </c>
      <c r="E10" s="11" t="n">
        <f aca="false">'1. Inputs'!E36</f>
        <v>0</v>
      </c>
      <c r="F10" s="11" t="n">
        <f aca="false">'1. Inputs'!F36</f>
        <v>0</v>
      </c>
      <c r="G10" s="11" t="n">
        <f aca="false">'1. Inputs'!G36</f>
        <v>0</v>
      </c>
      <c r="H10" s="11" t="n">
        <f aca="false">'1. Inputs'!H36</f>
        <v>0</v>
      </c>
      <c r="I10" s="11" t="n">
        <f aca="false">'1. Inputs'!I36</f>
        <v>0</v>
      </c>
      <c r="J10" s="11" t="n">
        <f aca="false">'1. Inputs'!J36</f>
        <v>0</v>
      </c>
      <c r="K10" s="11" t="n">
        <f aca="false">'1. Inputs'!K36</f>
        <v>0</v>
      </c>
      <c r="L10" s="11" t="n">
        <f aca="false">'1. Inputs'!L36</f>
        <v>0</v>
      </c>
    </row>
    <row r="11" customFormat="false" ht="15" hidden="false" customHeight="true" outlineLevel="0" collapsed="false">
      <c r="A11" s="9" t="s">
        <v>141</v>
      </c>
      <c r="B11" s="11" t="n">
        <f aca="false">'1. Inputs'!B35-'1. Inputs'!B36</f>
        <v>0</v>
      </c>
      <c r="C11" s="11" t="n">
        <f aca="false">'1. Inputs'!C35-'1. Inputs'!C36</f>
        <v>0</v>
      </c>
      <c r="D11" s="11" t="n">
        <f aca="false">'1. Inputs'!D35-'1. Inputs'!D36</f>
        <v>0</v>
      </c>
      <c r="E11" s="11" t="n">
        <f aca="false">'1. Inputs'!E35-'1. Inputs'!E36</f>
        <v>0</v>
      </c>
      <c r="F11" s="11" t="n">
        <f aca="false">'1. Inputs'!F35-'1. Inputs'!F36</f>
        <v>0</v>
      </c>
      <c r="G11" s="11" t="n">
        <f aca="false">'1. Inputs'!G35-'1. Inputs'!G36</f>
        <v>0</v>
      </c>
      <c r="H11" s="11" t="n">
        <f aca="false">'1. Inputs'!H35-'1. Inputs'!H36</f>
        <v>0</v>
      </c>
      <c r="I11" s="11" t="n">
        <f aca="false">'1. Inputs'!I35-'1. Inputs'!I36</f>
        <v>0</v>
      </c>
      <c r="J11" s="11" t="n">
        <f aca="false">'1. Inputs'!J35-'1. Inputs'!J36</f>
        <v>0</v>
      </c>
      <c r="K11" s="11" t="n">
        <f aca="false">'1. Inputs'!K35-'1. Inputs'!K36</f>
        <v>0</v>
      </c>
      <c r="L11" s="11" t="n">
        <f aca="false">'1. Inputs'!L35-'1. Inputs'!L36</f>
        <v>0</v>
      </c>
    </row>
    <row r="12" customFormat="false" ht="15" hidden="false" customHeight="true" outlineLevel="0" collapsed="false">
      <c r="A12" s="9" t="s">
        <v>142</v>
      </c>
      <c r="B12" s="11" t="n">
        <f aca="false">'1. Inputs'!B37</f>
        <v>0</v>
      </c>
      <c r="C12" s="11" t="n">
        <f aca="false">'1. Inputs'!C37</f>
        <v>0</v>
      </c>
      <c r="D12" s="11" t="n">
        <f aca="false">'1. Inputs'!D37</f>
        <v>0</v>
      </c>
      <c r="E12" s="11" t="n">
        <f aca="false">'1. Inputs'!E37</f>
        <v>0</v>
      </c>
      <c r="F12" s="11" t="n">
        <f aca="false">'1. Inputs'!F37</f>
        <v>0</v>
      </c>
      <c r="G12" s="11" t="n">
        <f aca="false">'1. Inputs'!G37</f>
        <v>0</v>
      </c>
      <c r="H12" s="11" t="n">
        <f aca="false">'1. Inputs'!H37</f>
        <v>0</v>
      </c>
      <c r="I12" s="11" t="n">
        <f aca="false">'1. Inputs'!I37</f>
        <v>0</v>
      </c>
      <c r="J12" s="11" t="n">
        <f aca="false">'1. Inputs'!J37</f>
        <v>0</v>
      </c>
      <c r="K12" s="11" t="n">
        <f aca="false">'1. Inputs'!K37</f>
        <v>0</v>
      </c>
      <c r="L12" s="11" t="n">
        <f aca="false">'1. Inputs'!L37</f>
        <v>0</v>
      </c>
    </row>
    <row r="13" customFormat="false" ht="15" hidden="false" customHeight="true" outlineLevel="0" collapsed="false">
      <c r="A13" s="9" t="s">
        <v>82</v>
      </c>
      <c r="B13" s="11" t="n">
        <f aca="false">'1. Inputs'!B39</f>
        <v>0</v>
      </c>
      <c r="C13" s="11" t="n">
        <f aca="false">'1. Inputs'!C39</f>
        <v>0</v>
      </c>
      <c r="D13" s="11" t="n">
        <f aca="false">'1. Inputs'!D39</f>
        <v>0</v>
      </c>
      <c r="E13" s="11" t="n">
        <f aca="false">'1. Inputs'!E39</f>
        <v>0</v>
      </c>
      <c r="F13" s="11" t="n">
        <f aca="false">'1. Inputs'!F39</f>
        <v>0</v>
      </c>
      <c r="G13" s="11" t="n">
        <f aca="false">'1. Inputs'!G39</f>
        <v>0</v>
      </c>
      <c r="H13" s="11" t="n">
        <f aca="false">'1. Inputs'!H39</f>
        <v>0</v>
      </c>
      <c r="I13" s="11" t="n">
        <f aca="false">'1. Inputs'!I39</f>
        <v>0</v>
      </c>
      <c r="J13" s="11" t="n">
        <f aca="false">'1. Inputs'!J39</f>
        <v>0</v>
      </c>
      <c r="K13" s="11" t="n">
        <f aca="false">'1. Inputs'!K39</f>
        <v>0</v>
      </c>
      <c r="L13" s="11" t="n">
        <f aca="false">'1. Inputs'!L39</f>
        <v>0</v>
      </c>
    </row>
    <row r="14" customFormat="false" ht="15" hidden="false" customHeight="true" outlineLevel="0" collapsed="false">
      <c r="A14" s="9" t="s">
        <v>143</v>
      </c>
      <c r="B14" s="12" t="s">
        <v>124</v>
      </c>
      <c r="C14" s="12" t="str">
        <f aca="false">IF(OR('1. Inputs'!B39=0,'1. Inputs'!B39=""),"-",('1. Inputs'!C39-'1. Inputs'!B39)/ABS('1. Inputs'!B39))</f>
        <v>-</v>
      </c>
      <c r="D14" s="12" t="str">
        <f aca="false">IF(OR('1. Inputs'!C39=0,'1. Inputs'!C39=""),"-",('1. Inputs'!D39-'1. Inputs'!C39)/ABS('1. Inputs'!C39))</f>
        <v>-</v>
      </c>
      <c r="E14" s="12" t="str">
        <f aca="false">IF(OR('1. Inputs'!D39=0,'1. Inputs'!D39=""),"-",('1. Inputs'!E39-'1. Inputs'!D39)/ABS('1. Inputs'!D39))</f>
        <v>-</v>
      </c>
      <c r="F14" s="12" t="str">
        <f aca="false">IF(OR('1. Inputs'!E39=0,'1. Inputs'!E39=""),"-",('1. Inputs'!F39-'1. Inputs'!E39)/ABS('1. Inputs'!E39))</f>
        <v>-</v>
      </c>
      <c r="G14" s="12" t="str">
        <f aca="false">IF(OR('1. Inputs'!F39=0,'1. Inputs'!F39=""),"-",('1. Inputs'!G39-'1. Inputs'!F39)/ABS('1. Inputs'!F39))</f>
        <v>-</v>
      </c>
      <c r="H14" s="12" t="str">
        <f aca="false">IF(OR('1. Inputs'!G39=0,'1. Inputs'!G39=""),"-",('1. Inputs'!H39-'1. Inputs'!G39)/ABS('1. Inputs'!G39))</f>
        <v>-</v>
      </c>
      <c r="I14" s="12" t="str">
        <f aca="false">IF(OR('1. Inputs'!H39=0,'1. Inputs'!H39=""),"-",('1. Inputs'!I39-'1. Inputs'!H39)/ABS('1. Inputs'!H39))</f>
        <v>-</v>
      </c>
      <c r="J14" s="12" t="str">
        <f aca="false">IF(OR('1. Inputs'!I39=0,'1. Inputs'!I39=""),"-",('1. Inputs'!J39-'1. Inputs'!I39)/ABS('1. Inputs'!I39))</f>
        <v>-</v>
      </c>
      <c r="K14" s="12" t="str">
        <f aca="false">IF(OR('1. Inputs'!J39=0,'1. Inputs'!J39=""),"-",('1. Inputs'!K39-'1. Inputs'!J39)/ABS('1. Inputs'!J39))</f>
        <v>-</v>
      </c>
      <c r="L14" s="12" t="str">
        <f aca="false">IF(OR('1. Inputs'!K39=0,'1. Inputs'!K39=""),"-",('1. Inputs'!L39-'1. Inputs'!K39)/ABS('1. Inputs'!K39))</f>
        <v>-</v>
      </c>
    </row>
    <row r="15" customFormat="false" ht="15" hidden="false" customHeight="true" outlineLevel="0" collapsed="false">
      <c r="A15" s="9" t="s">
        <v>144</v>
      </c>
      <c r="B15" s="11" t="str">
        <f aca="false">IF('1. Inputs'!$B$5=0,"-",('1. Inputs'!B34-'1. Inputs'!B37)/'1. Inputs'!$B$5)</f>
        <v>-</v>
      </c>
      <c r="C15" s="11" t="str">
        <f aca="false">IF('1. Inputs'!$B$5=0,"-",('1. Inputs'!C34-'1. Inputs'!C37)/'1. Inputs'!$B$5)</f>
        <v>-</v>
      </c>
      <c r="D15" s="11" t="str">
        <f aca="false">IF('1. Inputs'!$B$5=0,"-",('1. Inputs'!D34-'1. Inputs'!D37)/'1. Inputs'!$B$5)</f>
        <v>-</v>
      </c>
      <c r="E15" s="11" t="str">
        <f aca="false">IF('1. Inputs'!$B$5=0,"-",('1. Inputs'!E34-'1. Inputs'!E37)/'1. Inputs'!$B$5)</f>
        <v>-</v>
      </c>
      <c r="F15" s="11" t="str">
        <f aca="false">IF('1. Inputs'!$B$5=0,"-",('1. Inputs'!F34-'1. Inputs'!F37)/'1. Inputs'!$B$5)</f>
        <v>-</v>
      </c>
      <c r="G15" s="11" t="str">
        <f aca="false">IF('1. Inputs'!$B$5=0,"-",('1. Inputs'!G34-'1. Inputs'!G37)/'1. Inputs'!$B$5)</f>
        <v>-</v>
      </c>
      <c r="H15" s="11" t="str">
        <f aca="false">IF('1. Inputs'!$B$5=0,"-",('1. Inputs'!H34-'1. Inputs'!H37)/'1. Inputs'!$B$5)</f>
        <v>-</v>
      </c>
      <c r="I15" s="11" t="str">
        <f aca="false">IF('1. Inputs'!$B$5=0,"-",('1. Inputs'!I34-'1. Inputs'!I37)/'1. Inputs'!$B$5)</f>
        <v>-</v>
      </c>
      <c r="J15" s="11" t="str">
        <f aca="false">IF('1. Inputs'!$B$5=0,"-",('1. Inputs'!J34-'1. Inputs'!J37)/'1. Inputs'!$B$5)</f>
        <v>-</v>
      </c>
      <c r="K15" s="11" t="str">
        <f aca="false">IF('1. Inputs'!$B$5=0,"-",('1. Inputs'!K34-'1. Inputs'!K37)/'1. Inputs'!$B$5)</f>
        <v>-</v>
      </c>
      <c r="L15" s="11" t="str">
        <f aca="false">IF('1. Inputs'!$B$5=0,"-",('1. Inputs'!L34-'1. Inputs'!L37)/'1. Inputs'!$B$5)</f>
        <v>-</v>
      </c>
    </row>
    <row r="16" customFormat="false" ht="15" hidden="false" customHeight="true" outlineLevel="0" collapsed="false">
      <c r="A16" s="9" t="s">
        <v>145</v>
      </c>
      <c r="B16" s="13" t="str">
        <f aca="false">IF(OR('1. Inputs'!B34=0,'1. Inputs'!B34=""),"-",'1. Inputs'!B35/'1. Inputs'!B34)</f>
        <v>-</v>
      </c>
      <c r="C16" s="13" t="str">
        <f aca="false">IF(OR('1. Inputs'!C34=0,'1. Inputs'!C34=""),"-",'1. Inputs'!C35/'1. Inputs'!C34)</f>
        <v>-</v>
      </c>
      <c r="D16" s="13" t="str">
        <f aca="false">IF(OR('1. Inputs'!D34=0,'1. Inputs'!D34=""),"-",'1. Inputs'!D35/'1. Inputs'!D34)</f>
        <v>-</v>
      </c>
      <c r="E16" s="13" t="str">
        <f aca="false">IF(OR('1. Inputs'!E34=0,'1. Inputs'!E34=""),"-",'1. Inputs'!E35/'1. Inputs'!E34)</f>
        <v>-</v>
      </c>
      <c r="F16" s="13" t="str">
        <f aca="false">IF(OR('1. Inputs'!F34=0,'1. Inputs'!F34=""),"-",'1. Inputs'!F35/'1. Inputs'!F34)</f>
        <v>-</v>
      </c>
      <c r="G16" s="13" t="str">
        <f aca="false">IF(OR('1. Inputs'!G34=0,'1. Inputs'!G34=""),"-",'1. Inputs'!G35/'1. Inputs'!G34)</f>
        <v>-</v>
      </c>
      <c r="H16" s="13" t="str">
        <f aca="false">IF(OR('1. Inputs'!H34=0,'1. Inputs'!H34=""),"-",'1. Inputs'!H35/'1. Inputs'!H34)</f>
        <v>-</v>
      </c>
      <c r="I16" s="13" t="str">
        <f aca="false">IF(OR('1. Inputs'!I34=0,'1. Inputs'!I34=""),"-",'1. Inputs'!I35/'1. Inputs'!I34)</f>
        <v>-</v>
      </c>
      <c r="J16" s="13" t="str">
        <f aca="false">IF(OR('1. Inputs'!J34=0,'1. Inputs'!J34=""),"-",'1. Inputs'!J35/'1. Inputs'!J34)</f>
        <v>-</v>
      </c>
      <c r="K16" s="13" t="str">
        <f aca="false">IF(OR('1. Inputs'!K34=0,'1. Inputs'!K34=""),"-",'1. Inputs'!K35/'1. Inputs'!K34)</f>
        <v>-</v>
      </c>
      <c r="L16" s="13" t="str">
        <f aca="false">IF(OR('1. Inputs'!L34=0,'1. Inputs'!L34=""),"-",'1. Inputs'!L35/'1. Inputs'!L34)</f>
        <v>-</v>
      </c>
    </row>
    <row r="17" customFormat="false" ht="15" hidden="false" customHeight="true" outlineLevel="0" collapsed="false">
      <c r="A17" s="9" t="s">
        <v>146</v>
      </c>
      <c r="B17" s="13" t="str">
        <f aca="false">IF(OR('1. Inputs'!B13=0,'1. Inputs'!B13=""),"-",'1. Inputs'!B35/'1. Inputs'!B13)</f>
        <v>-</v>
      </c>
      <c r="C17" s="13" t="str">
        <f aca="false">IF(OR('1. Inputs'!C13=0,'1. Inputs'!C13=""),"-",'1. Inputs'!C35/'1. Inputs'!C13)</f>
        <v>-</v>
      </c>
      <c r="D17" s="13" t="str">
        <f aca="false">IF(OR('1. Inputs'!D13=0,'1. Inputs'!D13=""),"-",'1. Inputs'!D35/'1. Inputs'!D13)</f>
        <v>-</v>
      </c>
      <c r="E17" s="13" t="str">
        <f aca="false">IF(OR('1. Inputs'!E13=0,'1. Inputs'!E13=""),"-",'1. Inputs'!E35/'1. Inputs'!E13)</f>
        <v>-</v>
      </c>
      <c r="F17" s="13" t="str">
        <f aca="false">IF(OR('1. Inputs'!F13=0,'1. Inputs'!F13=""),"-",'1. Inputs'!F35/'1. Inputs'!F13)</f>
        <v>-</v>
      </c>
      <c r="G17" s="13" t="str">
        <f aca="false">IF(OR('1. Inputs'!G13=0,'1. Inputs'!G13=""),"-",'1. Inputs'!G35/'1. Inputs'!G13)</f>
        <v>-</v>
      </c>
      <c r="H17" s="13" t="str">
        <f aca="false">IF(OR('1. Inputs'!H13=0,'1. Inputs'!H13=""),"-",'1. Inputs'!H35/'1. Inputs'!H13)</f>
        <v>-</v>
      </c>
      <c r="I17" s="13" t="str">
        <f aca="false">IF(OR('1. Inputs'!I13=0,'1. Inputs'!I13=""),"-",'1. Inputs'!I35/'1. Inputs'!I13)</f>
        <v>-</v>
      </c>
      <c r="J17" s="13" t="str">
        <f aca="false">IF(OR('1. Inputs'!J13=0,'1. Inputs'!J13=""),"-",'1. Inputs'!J35/'1. Inputs'!J13)</f>
        <v>-</v>
      </c>
      <c r="K17" s="13" t="str">
        <f aca="false">IF(OR('1. Inputs'!K13=0,'1. Inputs'!K13=""),"-",'1. Inputs'!K35/'1. Inputs'!K13)</f>
        <v>-</v>
      </c>
      <c r="L17" s="13" t="str">
        <f aca="false">IF(OR('1. Inputs'!L13=0,'1. Inputs'!L13=""),"-",'1. Inputs'!L35/'1. Inputs'!L13)</f>
        <v>-</v>
      </c>
    </row>
    <row r="18" customFormat="false" ht="15" hidden="false" customHeight="true" outlineLevel="0" collapsed="false">
      <c r="A18" s="9" t="s">
        <v>147</v>
      </c>
      <c r="B18" s="13" t="str">
        <f aca="false">IF(OR('1. Inputs'!B13=0,'1. Inputs'!B13=""),"-",('1. Inputs'!B35-'1. Inputs'!B36)/'1. Inputs'!B13)</f>
        <v>-</v>
      </c>
      <c r="C18" s="13" t="str">
        <f aca="false">IF(OR('1. Inputs'!C13=0,'1. Inputs'!C13=""),"-",('1. Inputs'!C35-'1. Inputs'!C36)/'1. Inputs'!C13)</f>
        <v>-</v>
      </c>
      <c r="D18" s="13" t="str">
        <f aca="false">IF(OR('1. Inputs'!D13=0,'1. Inputs'!D13=""),"-",('1. Inputs'!D35-'1. Inputs'!D36)/'1. Inputs'!D13)</f>
        <v>-</v>
      </c>
      <c r="E18" s="13" t="str">
        <f aca="false">IF(OR('1. Inputs'!E13=0,'1. Inputs'!E13=""),"-",('1. Inputs'!E35-'1. Inputs'!E36)/'1. Inputs'!E13)</f>
        <v>-</v>
      </c>
      <c r="F18" s="13" t="str">
        <f aca="false">IF(OR('1. Inputs'!F13=0,'1. Inputs'!F13=""),"-",('1. Inputs'!F35-'1. Inputs'!F36)/'1. Inputs'!F13)</f>
        <v>-</v>
      </c>
      <c r="G18" s="13" t="str">
        <f aca="false">IF(OR('1. Inputs'!G13=0,'1. Inputs'!G13=""),"-",('1. Inputs'!G35-'1. Inputs'!G36)/'1. Inputs'!G13)</f>
        <v>-</v>
      </c>
      <c r="H18" s="13" t="str">
        <f aca="false">IF(OR('1. Inputs'!H13=0,'1. Inputs'!H13=""),"-",('1. Inputs'!H35-'1. Inputs'!H36)/'1. Inputs'!H13)</f>
        <v>-</v>
      </c>
      <c r="I18" s="13" t="str">
        <f aca="false">IF(OR('1. Inputs'!I13=0,'1. Inputs'!I13=""),"-",('1. Inputs'!I35-'1. Inputs'!I36)/'1. Inputs'!I13)</f>
        <v>-</v>
      </c>
      <c r="J18" s="13" t="str">
        <f aca="false">IF(OR('1. Inputs'!J13=0,'1. Inputs'!J13=""),"-",('1. Inputs'!J35-'1. Inputs'!J36)/'1. Inputs'!J13)</f>
        <v>-</v>
      </c>
      <c r="K18" s="13" t="str">
        <f aca="false">IF(OR('1. Inputs'!K13=0,'1. Inputs'!K13=""),"-",('1. Inputs'!K35-'1. Inputs'!K36)/'1. Inputs'!K13)</f>
        <v>-</v>
      </c>
      <c r="L18" s="13" t="str">
        <f aca="false">IF(OR('1. Inputs'!L13=0,'1. Inputs'!L13=""),"-",('1. Inputs'!L35-'1. Inputs'!L36)/'1. Inputs'!L13)</f>
        <v>-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12" min="2" style="1" width="14"/>
  </cols>
  <sheetData>
    <row r="1" customFormat="false" ht="15.75" hidden="false" customHeight="true" outlineLevel="0" collapsed="false">
      <c r="A1" s="10" t="s">
        <v>148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3" customFormat="false" ht="15" hidden="false" customHeight="true" outlineLevel="0" collapsed="false">
      <c r="A3" s="7" t="s">
        <v>45</v>
      </c>
      <c r="B3" s="7" t="n">
        <f aca="false">'1. Inputs'!B11</f>
        <v>0</v>
      </c>
      <c r="C3" s="7" t="n">
        <f aca="false">'1. Inputs'!C11</f>
        <v>0</v>
      </c>
      <c r="D3" s="7" t="n">
        <f aca="false">'1. Inputs'!D11</f>
        <v>0</v>
      </c>
      <c r="E3" s="7" t="n">
        <f aca="false">'1. Inputs'!E11</f>
        <v>0</v>
      </c>
      <c r="F3" s="7" t="n">
        <f aca="false">'1. Inputs'!F11</f>
        <v>0</v>
      </c>
      <c r="G3" s="7" t="n">
        <f aca="false">'1. Inputs'!G11</f>
        <v>0</v>
      </c>
      <c r="H3" s="7" t="n">
        <f aca="false">'1. Inputs'!H11</f>
        <v>0</v>
      </c>
      <c r="I3" s="7" t="n">
        <f aca="false">'1. Inputs'!I11</f>
        <v>0</v>
      </c>
      <c r="J3" s="7" t="n">
        <f aca="false">'1. Inputs'!J11</f>
        <v>0</v>
      </c>
      <c r="K3" s="7" t="n">
        <f aca="false">'1. Inputs'!K11</f>
        <v>0</v>
      </c>
      <c r="L3" s="7" t="n">
        <f aca="false">'1. Inputs'!L11</f>
        <v>0</v>
      </c>
    </row>
    <row r="4" customFormat="false" ht="15" hidden="false" customHeight="true" outlineLevel="0" collapsed="false">
      <c r="A4" s="9" t="s">
        <v>149</v>
      </c>
      <c r="B4" s="11" t="n">
        <f aca="false">'1. Inputs'!B54</f>
        <v>0</v>
      </c>
      <c r="C4" s="11" t="n">
        <f aca="false">'1. Inputs'!C54</f>
        <v>0</v>
      </c>
      <c r="D4" s="11" t="n">
        <f aca="false">'1. Inputs'!D54</f>
        <v>0</v>
      </c>
      <c r="E4" s="11" t="n">
        <f aca="false">'1. Inputs'!E54</f>
        <v>0</v>
      </c>
      <c r="F4" s="11" t="n">
        <f aca="false">'1. Inputs'!F54</f>
        <v>0</v>
      </c>
      <c r="G4" s="11" t="n">
        <f aca="false">'1. Inputs'!G54</f>
        <v>0</v>
      </c>
      <c r="H4" s="11" t="n">
        <f aca="false">'1. Inputs'!H54</f>
        <v>0</v>
      </c>
      <c r="I4" s="11" t="n">
        <f aca="false">'1. Inputs'!I54</f>
        <v>0</v>
      </c>
      <c r="J4" s="11" t="n">
        <f aca="false">'1. Inputs'!J54</f>
        <v>0</v>
      </c>
      <c r="K4" s="11" t="n">
        <f aca="false">'1. Inputs'!K54</f>
        <v>0</v>
      </c>
      <c r="L4" s="11" t="n">
        <f aca="false">'1. Inputs'!L54</f>
        <v>0</v>
      </c>
    </row>
    <row r="5" customFormat="false" ht="15" hidden="false" customHeight="true" outlineLevel="0" collapsed="false">
      <c r="A5" s="9" t="s">
        <v>150</v>
      </c>
      <c r="B5" s="12" t="s">
        <v>124</v>
      </c>
      <c r="C5" s="12" t="str">
        <f aca="false">IF(OR('1. Inputs'!B54=0,'1. Inputs'!B54=""),"-",('1. Inputs'!C54-'1. Inputs'!B54)/ABS('1. Inputs'!B54))</f>
        <v>-</v>
      </c>
      <c r="D5" s="12" t="str">
        <f aca="false">IF(OR('1. Inputs'!C54=0,'1. Inputs'!C54=""),"-",('1. Inputs'!D54-'1. Inputs'!C54)/ABS('1. Inputs'!C54))</f>
        <v>-</v>
      </c>
      <c r="E5" s="12" t="str">
        <f aca="false">IF(OR('1. Inputs'!D54=0,'1. Inputs'!D54=""),"-",('1. Inputs'!E54-'1. Inputs'!D54)/ABS('1. Inputs'!D54))</f>
        <v>-</v>
      </c>
      <c r="F5" s="12" t="str">
        <f aca="false">IF(OR('1. Inputs'!E54=0,'1. Inputs'!E54=""),"-",('1. Inputs'!F54-'1. Inputs'!E54)/ABS('1. Inputs'!E54))</f>
        <v>-</v>
      </c>
      <c r="G5" s="12" t="str">
        <f aca="false">IF(OR('1. Inputs'!F54=0,'1. Inputs'!F54=""),"-",('1. Inputs'!G54-'1. Inputs'!F54)/ABS('1. Inputs'!F54))</f>
        <v>-</v>
      </c>
      <c r="H5" s="12" t="str">
        <f aca="false">IF(OR('1. Inputs'!G54=0,'1. Inputs'!G54=""),"-",('1. Inputs'!H54-'1. Inputs'!G54)/ABS('1. Inputs'!G54))</f>
        <v>-</v>
      </c>
      <c r="I5" s="12" t="str">
        <f aca="false">IF(OR('1. Inputs'!H54=0,'1. Inputs'!H54=""),"-",('1. Inputs'!I54-'1. Inputs'!H54)/ABS('1. Inputs'!H54))</f>
        <v>-</v>
      </c>
      <c r="J5" s="12" t="str">
        <f aca="false">IF(OR('1. Inputs'!I54=0,'1. Inputs'!I54=""),"-",('1. Inputs'!J54-'1. Inputs'!I54)/ABS('1. Inputs'!I54))</f>
        <v>-</v>
      </c>
      <c r="K5" s="12" t="str">
        <f aca="false">IF(OR('1. Inputs'!J54=0,'1. Inputs'!J54=""),"-",('1. Inputs'!K54-'1. Inputs'!J54)/ABS('1. Inputs'!J54))</f>
        <v>-</v>
      </c>
      <c r="L5" s="12" t="str">
        <f aca="false">IF(OR('1. Inputs'!K54=0,'1. Inputs'!K54=""),"-",('1. Inputs'!L54-'1. Inputs'!K54)/ABS('1. Inputs'!K54))</f>
        <v>-</v>
      </c>
    </row>
    <row r="6" customFormat="false" ht="15" hidden="false" customHeight="true" outlineLevel="0" collapsed="false">
      <c r="A6" s="9" t="s">
        <v>151</v>
      </c>
      <c r="B6" s="11" t="n">
        <f aca="false">'1. Inputs'!B55</f>
        <v>0</v>
      </c>
      <c r="C6" s="11" t="n">
        <f aca="false">'1. Inputs'!C55</f>
        <v>0</v>
      </c>
      <c r="D6" s="11" t="n">
        <f aca="false">'1. Inputs'!D55</f>
        <v>0</v>
      </c>
      <c r="E6" s="11" t="n">
        <f aca="false">'1. Inputs'!E55</f>
        <v>0</v>
      </c>
      <c r="F6" s="11" t="n">
        <f aca="false">'1. Inputs'!F55</f>
        <v>0</v>
      </c>
      <c r="G6" s="11" t="n">
        <f aca="false">'1. Inputs'!G55</f>
        <v>0</v>
      </c>
      <c r="H6" s="11" t="n">
        <f aca="false">'1. Inputs'!H55</f>
        <v>0</v>
      </c>
      <c r="I6" s="11" t="n">
        <f aca="false">'1. Inputs'!I55</f>
        <v>0</v>
      </c>
      <c r="J6" s="11" t="n">
        <f aca="false">'1. Inputs'!J55</f>
        <v>0</v>
      </c>
      <c r="K6" s="11" t="n">
        <f aca="false">'1. Inputs'!K55</f>
        <v>0</v>
      </c>
      <c r="L6" s="11" t="n">
        <f aca="false">'1. Inputs'!L55</f>
        <v>0</v>
      </c>
    </row>
    <row r="7" customFormat="false" ht="15" hidden="false" customHeight="true" outlineLevel="0" collapsed="false">
      <c r="A7" s="9" t="s">
        <v>152</v>
      </c>
      <c r="B7" s="11" t="n">
        <f aca="false">'1. Inputs'!B54+'1. Inputs'!B55</f>
        <v>0</v>
      </c>
      <c r="C7" s="11" t="n">
        <f aca="false">'1. Inputs'!C54+'1. Inputs'!C55</f>
        <v>0</v>
      </c>
      <c r="D7" s="11" t="n">
        <f aca="false">'1. Inputs'!D54+'1. Inputs'!D55</f>
        <v>0</v>
      </c>
      <c r="E7" s="11" t="n">
        <f aca="false">'1. Inputs'!E54+'1. Inputs'!E55</f>
        <v>0</v>
      </c>
      <c r="F7" s="11" t="n">
        <f aca="false">'1. Inputs'!F54+'1. Inputs'!F55</f>
        <v>0</v>
      </c>
      <c r="G7" s="11" t="n">
        <f aca="false">'1. Inputs'!G54+'1. Inputs'!G55</f>
        <v>0</v>
      </c>
      <c r="H7" s="11" t="n">
        <f aca="false">'1. Inputs'!H54+'1. Inputs'!H55</f>
        <v>0</v>
      </c>
      <c r="I7" s="11" t="n">
        <f aca="false">'1. Inputs'!I54+'1. Inputs'!I55</f>
        <v>0</v>
      </c>
      <c r="J7" s="11" t="n">
        <f aca="false">'1. Inputs'!J54+'1. Inputs'!J55</f>
        <v>0</v>
      </c>
      <c r="K7" s="11" t="n">
        <f aca="false">'1. Inputs'!K54+'1. Inputs'!K55</f>
        <v>0</v>
      </c>
      <c r="L7" s="11" t="n">
        <f aca="false">'1. Inputs'!L54+'1. Inputs'!L55</f>
        <v>0</v>
      </c>
    </row>
    <row r="8" customFormat="false" ht="15" hidden="false" customHeight="true" outlineLevel="0" collapsed="false">
      <c r="A8" s="9" t="s">
        <v>153</v>
      </c>
      <c r="B8" s="12" t="str">
        <f aca="false">IF(OR('1. Inputs'!B12=0,'1. Inputs'!B12=""),"-",('1. Inputs'!B54+'1. Inputs'!B55)/'1. Inputs'!B12)</f>
        <v>-</v>
      </c>
      <c r="C8" s="12" t="str">
        <f aca="false">IF(OR('1. Inputs'!C12=0,'1. Inputs'!C12=""),"-",('1. Inputs'!C54+'1. Inputs'!C55)/'1. Inputs'!C12)</f>
        <v>-</v>
      </c>
      <c r="D8" s="12" t="str">
        <f aca="false">IF(OR('1. Inputs'!D12=0,'1. Inputs'!D12=""),"-",('1. Inputs'!D54+'1. Inputs'!D55)/'1. Inputs'!D12)</f>
        <v>-</v>
      </c>
      <c r="E8" s="12" t="str">
        <f aca="false">IF(OR('1. Inputs'!E12=0,'1. Inputs'!E12=""),"-",('1. Inputs'!E54+'1. Inputs'!E55)/'1. Inputs'!E12)</f>
        <v>-</v>
      </c>
      <c r="F8" s="12" t="str">
        <f aca="false">IF(OR('1. Inputs'!F12=0,'1. Inputs'!F12=""),"-",('1. Inputs'!F54+'1. Inputs'!F55)/'1. Inputs'!F12)</f>
        <v>-</v>
      </c>
      <c r="G8" s="12" t="str">
        <f aca="false">IF(OR('1. Inputs'!G12=0,'1. Inputs'!G12=""),"-",('1. Inputs'!G54+'1. Inputs'!G55)/'1. Inputs'!G12)</f>
        <v>-</v>
      </c>
      <c r="H8" s="12" t="str">
        <f aca="false">IF(OR('1. Inputs'!H12=0,'1. Inputs'!H12=""),"-",('1. Inputs'!H54+'1. Inputs'!H55)/'1. Inputs'!H12)</f>
        <v>-</v>
      </c>
      <c r="I8" s="12" t="str">
        <f aca="false">IF(OR('1. Inputs'!I12=0,'1. Inputs'!I12=""),"-",('1. Inputs'!I54+'1. Inputs'!I55)/'1. Inputs'!I12)</f>
        <v>-</v>
      </c>
      <c r="J8" s="12" t="str">
        <f aca="false">IF(OR('1. Inputs'!J12=0,'1. Inputs'!J12=""),"-",('1. Inputs'!J54+'1. Inputs'!J55)/'1. Inputs'!J12)</f>
        <v>-</v>
      </c>
      <c r="K8" s="12" t="str">
        <f aca="false">IF(OR('1. Inputs'!K12=0,'1. Inputs'!K12=""),"-",('1. Inputs'!K54+'1. Inputs'!K55)/'1. Inputs'!K12)</f>
        <v>-</v>
      </c>
      <c r="L8" s="12" t="str">
        <f aca="false">IF(OR('1. Inputs'!L12=0,'1. Inputs'!L12=""),"-",('1. Inputs'!L54+'1. Inputs'!L55)/'1. Inputs'!L12)</f>
        <v>-</v>
      </c>
    </row>
    <row r="9" customFormat="false" ht="15" hidden="false" customHeight="true" outlineLevel="0" collapsed="false">
      <c r="A9" s="9" t="s">
        <v>154</v>
      </c>
      <c r="B9" s="11" t="str">
        <f aca="false">IF('1. Inputs'!$B$5=0,"-",('1. Inputs'!B54+'1. Inputs'!B55)/'1. Inputs'!$B$5)</f>
        <v>-</v>
      </c>
      <c r="C9" s="11" t="str">
        <f aca="false">IF('1. Inputs'!$B$5=0,"-",('1. Inputs'!C54+'1. Inputs'!C55)/'1. Inputs'!$B$5)</f>
        <v>-</v>
      </c>
      <c r="D9" s="11" t="str">
        <f aca="false">IF('1. Inputs'!$B$5=0,"-",('1. Inputs'!D54+'1. Inputs'!D55)/'1. Inputs'!$B$5)</f>
        <v>-</v>
      </c>
      <c r="E9" s="11" t="str">
        <f aca="false">IF('1. Inputs'!$B$5=0,"-",('1. Inputs'!E54+'1. Inputs'!E55)/'1. Inputs'!$B$5)</f>
        <v>-</v>
      </c>
      <c r="F9" s="11" t="str">
        <f aca="false">IF('1. Inputs'!$B$5=0,"-",('1. Inputs'!F54+'1. Inputs'!F55)/'1. Inputs'!$B$5)</f>
        <v>-</v>
      </c>
      <c r="G9" s="11" t="str">
        <f aca="false">IF('1. Inputs'!$B$5=0,"-",('1. Inputs'!G54+'1. Inputs'!G55)/'1. Inputs'!$B$5)</f>
        <v>-</v>
      </c>
      <c r="H9" s="11" t="str">
        <f aca="false">IF('1. Inputs'!$B$5=0,"-",('1. Inputs'!H54+'1. Inputs'!H55)/'1. Inputs'!$B$5)</f>
        <v>-</v>
      </c>
      <c r="I9" s="11" t="str">
        <f aca="false">IF('1. Inputs'!$B$5=0,"-",('1. Inputs'!I54+'1. Inputs'!I55)/'1. Inputs'!$B$5)</f>
        <v>-</v>
      </c>
      <c r="J9" s="11" t="str">
        <f aca="false">IF('1. Inputs'!$B$5=0,"-",('1. Inputs'!J54+'1. Inputs'!J55)/'1. Inputs'!$B$5)</f>
        <v>-</v>
      </c>
      <c r="K9" s="11" t="str">
        <f aca="false">IF('1. Inputs'!$B$5=0,"-",('1. Inputs'!K54+'1. Inputs'!K55)/'1. Inputs'!$B$5)</f>
        <v>-</v>
      </c>
      <c r="L9" s="11" t="str">
        <f aca="false">IF('1. Inputs'!$B$5=0,"-",('1. Inputs'!L54+'1. Inputs'!L55)/'1. Inputs'!$B$5)</f>
        <v>-</v>
      </c>
    </row>
    <row r="10" customFormat="false" ht="15" hidden="false" customHeight="true" outlineLevel="0" collapsed="false">
      <c r="A10" s="9" t="s">
        <v>155</v>
      </c>
      <c r="B10" s="12" t="s">
        <v>124</v>
      </c>
      <c r="C10" s="12" t="str">
        <f aca="false">IF(('1. Inputs'!B54+'1. Inputs'!B55)=0,"-",(('1. Inputs'!C54+'1. Inputs'!C55)-('1. Inputs'!B54+'1. Inputs'!B55))/ABS('1. Inputs'!B54+'1. Inputs'!B55))</f>
        <v>-</v>
      </c>
      <c r="D10" s="12" t="str">
        <f aca="false">IF(('1. Inputs'!C54+'1. Inputs'!C55)=0,"-",(('1. Inputs'!D54+'1. Inputs'!D55)-('1. Inputs'!C54+'1. Inputs'!C55))/ABS('1. Inputs'!C54+'1. Inputs'!C55))</f>
        <v>-</v>
      </c>
      <c r="E10" s="12" t="str">
        <f aca="false">IF(('1. Inputs'!D54+'1. Inputs'!D55)=0,"-",(('1. Inputs'!E54+'1. Inputs'!E55)-('1. Inputs'!D54+'1. Inputs'!D55))/ABS('1. Inputs'!D54+'1. Inputs'!D55))</f>
        <v>-</v>
      </c>
      <c r="F10" s="12" t="str">
        <f aca="false">IF(('1. Inputs'!E54+'1. Inputs'!E55)=0,"-",(('1. Inputs'!F54+'1. Inputs'!F55)-('1. Inputs'!E54+'1. Inputs'!E55))/ABS('1. Inputs'!E54+'1. Inputs'!E55))</f>
        <v>-</v>
      </c>
      <c r="G10" s="12" t="str">
        <f aca="false">IF(('1. Inputs'!F54+'1. Inputs'!F55)=0,"-",(('1. Inputs'!G54+'1. Inputs'!G55)-('1. Inputs'!F54+'1. Inputs'!F55))/ABS('1. Inputs'!F54+'1. Inputs'!F55))</f>
        <v>-</v>
      </c>
      <c r="H10" s="12" t="str">
        <f aca="false">IF(('1. Inputs'!G54+'1. Inputs'!G55)=0,"-",(('1. Inputs'!H54+'1. Inputs'!H55)-('1. Inputs'!G54+'1. Inputs'!G55))/ABS('1. Inputs'!G54+'1. Inputs'!G55))</f>
        <v>-</v>
      </c>
      <c r="I10" s="12" t="str">
        <f aca="false">IF(('1. Inputs'!H54+'1. Inputs'!H55)=0,"-",(('1. Inputs'!I54+'1. Inputs'!I55)-('1. Inputs'!H54+'1. Inputs'!H55))/ABS('1. Inputs'!H54+'1. Inputs'!H55))</f>
        <v>-</v>
      </c>
      <c r="J10" s="12" t="str">
        <f aca="false">IF(('1. Inputs'!I54+'1. Inputs'!I55)=0,"-",(('1. Inputs'!J54+'1. Inputs'!J55)-('1. Inputs'!I54+'1. Inputs'!I55))/ABS('1. Inputs'!I54+'1. Inputs'!I55))</f>
        <v>-</v>
      </c>
      <c r="K10" s="12" t="str">
        <f aca="false">IF(('1. Inputs'!J54+'1. Inputs'!J55)=0,"-",(('1. Inputs'!K54+'1. Inputs'!K55)-('1. Inputs'!J54+'1. Inputs'!J55))/ABS('1. Inputs'!J54+'1. Inputs'!J55))</f>
        <v>-</v>
      </c>
      <c r="L10" s="12" t="str">
        <f aca="false">IF(('1. Inputs'!K54+'1. Inputs'!K55)=0,"-",(('1. Inputs'!L54+'1. Inputs'!L55)-('1. Inputs'!K54+'1. Inputs'!K55))/ABS('1. Inputs'!K54+'1. Inputs'!K55))</f>
        <v>-</v>
      </c>
    </row>
    <row r="11" customFormat="false" ht="15" hidden="false" customHeight="true" outlineLevel="0" collapsed="false">
      <c r="A11" s="9" t="s">
        <v>156</v>
      </c>
      <c r="B11" s="12" t="str">
        <f aca="false">IF(OR('1. Inputs'!B18=0,'1. Inputs'!B18=""),"-",('1. Inputs'!B54+'1. Inputs'!B55)/'1. Inputs'!B18)</f>
        <v>-</v>
      </c>
      <c r="C11" s="12" t="str">
        <f aca="false">IF(OR('1. Inputs'!C18=0,'1. Inputs'!C18=""),"-",('1. Inputs'!C54+'1. Inputs'!C55)/'1. Inputs'!C18)</f>
        <v>-</v>
      </c>
      <c r="D11" s="12" t="str">
        <f aca="false">IF(OR('1. Inputs'!D18=0,'1. Inputs'!D18=""),"-",('1. Inputs'!D54+'1. Inputs'!D55)/'1. Inputs'!D18)</f>
        <v>-</v>
      </c>
      <c r="E11" s="12" t="str">
        <f aca="false">IF(OR('1. Inputs'!E18=0,'1. Inputs'!E18=""),"-",('1. Inputs'!E54+'1. Inputs'!E55)/'1. Inputs'!E18)</f>
        <v>-</v>
      </c>
      <c r="F11" s="12" t="str">
        <f aca="false">IF(OR('1. Inputs'!F18=0,'1. Inputs'!F18=""),"-",('1. Inputs'!F54+'1. Inputs'!F55)/'1. Inputs'!F18)</f>
        <v>-</v>
      </c>
      <c r="G11" s="12" t="str">
        <f aca="false">IF(OR('1. Inputs'!G18=0,'1. Inputs'!G18=""),"-",('1. Inputs'!G54+'1. Inputs'!G55)/'1. Inputs'!G18)</f>
        <v>-</v>
      </c>
      <c r="H11" s="12" t="str">
        <f aca="false">IF(OR('1. Inputs'!H18=0,'1. Inputs'!H18=""),"-",('1. Inputs'!H54+'1. Inputs'!H55)/'1. Inputs'!H18)</f>
        <v>-</v>
      </c>
      <c r="I11" s="12" t="str">
        <f aca="false">IF(OR('1. Inputs'!I18=0,'1. Inputs'!I18=""),"-",('1. Inputs'!I54+'1. Inputs'!I55)/'1. Inputs'!I18)</f>
        <v>-</v>
      </c>
      <c r="J11" s="12" t="str">
        <f aca="false">IF(OR('1. Inputs'!J18=0,'1. Inputs'!J18=""),"-",('1. Inputs'!J54+'1. Inputs'!J55)/'1. Inputs'!J18)</f>
        <v>-</v>
      </c>
      <c r="K11" s="12" t="str">
        <f aca="false">IF(OR('1. Inputs'!K18=0,'1. Inputs'!K18=""),"-",('1. Inputs'!K54+'1. Inputs'!K55)/'1. Inputs'!K18)</f>
        <v>-</v>
      </c>
      <c r="L11" s="12" t="str">
        <f aca="false">IF(OR('1. Inputs'!L18=0,'1. Inputs'!L18=""),"-",('1. Inputs'!L54+'1. Inputs'!L55)/'1. Inputs'!L18)</f>
        <v>-</v>
      </c>
    </row>
    <row r="12" customFormat="false" ht="15" hidden="false" customHeight="true" outlineLevel="0" collapsed="false">
      <c r="A12" s="9" t="s">
        <v>157</v>
      </c>
      <c r="B12" s="11" t="n">
        <f aca="false">'1. Inputs'!B58</f>
        <v>0</v>
      </c>
      <c r="C12" s="11" t="n">
        <f aca="false">'1. Inputs'!C58</f>
        <v>0</v>
      </c>
      <c r="D12" s="11" t="n">
        <f aca="false">'1. Inputs'!D58</f>
        <v>0</v>
      </c>
      <c r="E12" s="11" t="n">
        <f aca="false">'1. Inputs'!E58</f>
        <v>0</v>
      </c>
      <c r="F12" s="11" t="n">
        <f aca="false">'1. Inputs'!F58</f>
        <v>0</v>
      </c>
      <c r="G12" s="11" t="n">
        <f aca="false">'1. Inputs'!G58</f>
        <v>0</v>
      </c>
      <c r="H12" s="11" t="n">
        <f aca="false">'1. Inputs'!H58</f>
        <v>0</v>
      </c>
      <c r="I12" s="11" t="n">
        <f aca="false">'1. Inputs'!I58</f>
        <v>0</v>
      </c>
      <c r="J12" s="11" t="n">
        <f aca="false">'1. Inputs'!J58</f>
        <v>0</v>
      </c>
      <c r="K12" s="11" t="n">
        <f aca="false">'1. Inputs'!K58</f>
        <v>0</v>
      </c>
      <c r="L12" s="11" t="n">
        <f aca="false">'1. Inputs'!L58</f>
        <v>0</v>
      </c>
    </row>
    <row r="13" customFormat="false" ht="15" hidden="false" customHeight="true" outlineLevel="0" collapsed="false">
      <c r="A13" s="9" t="s">
        <v>158</v>
      </c>
      <c r="B13" s="12" t="str">
        <f aca="false">IF(OR('1. Inputs'!B18=0,'1. Inputs'!B18=""),"-",'1. Inputs'!B58/'1. Inputs'!B18)</f>
        <v>-</v>
      </c>
      <c r="C13" s="12" t="str">
        <f aca="false">IF(OR('1. Inputs'!C18=0,'1. Inputs'!C18=""),"-",'1. Inputs'!C58/'1. Inputs'!C18)</f>
        <v>-</v>
      </c>
      <c r="D13" s="12" t="str">
        <f aca="false">IF(OR('1. Inputs'!D18=0,'1. Inputs'!D18=""),"-",'1. Inputs'!D58/'1. Inputs'!D18)</f>
        <v>-</v>
      </c>
      <c r="E13" s="12" t="str">
        <f aca="false">IF(OR('1. Inputs'!E18=0,'1. Inputs'!E18=""),"-",'1. Inputs'!E58/'1. Inputs'!E18)</f>
        <v>-</v>
      </c>
      <c r="F13" s="12" t="str">
        <f aca="false">IF(OR('1. Inputs'!F18=0,'1. Inputs'!F18=""),"-",'1. Inputs'!F58/'1. Inputs'!F18)</f>
        <v>-</v>
      </c>
      <c r="G13" s="12" t="str">
        <f aca="false">IF(OR('1. Inputs'!G18=0,'1. Inputs'!G18=""),"-",'1. Inputs'!G58/'1. Inputs'!G18)</f>
        <v>-</v>
      </c>
      <c r="H13" s="12" t="str">
        <f aca="false">IF(OR('1. Inputs'!H18=0,'1. Inputs'!H18=""),"-",'1. Inputs'!H58/'1. Inputs'!H18)</f>
        <v>-</v>
      </c>
      <c r="I13" s="12" t="str">
        <f aca="false">IF(OR('1. Inputs'!I18=0,'1. Inputs'!I18=""),"-",'1. Inputs'!I58/'1. Inputs'!I18)</f>
        <v>-</v>
      </c>
      <c r="J13" s="12" t="str">
        <f aca="false">IF(OR('1. Inputs'!J18=0,'1. Inputs'!J18=""),"-",'1. Inputs'!J58/'1. Inputs'!J18)</f>
        <v>-</v>
      </c>
      <c r="K13" s="12" t="str">
        <f aca="false">IF(OR('1. Inputs'!K18=0,'1. Inputs'!K18=""),"-",'1. Inputs'!K58/'1. Inputs'!K18)</f>
        <v>-</v>
      </c>
      <c r="L13" s="12" t="str">
        <f aca="false">IF(OR('1. Inputs'!L18=0,'1. Inputs'!L18=""),"-",'1. Inputs'!L58/'1. Inputs'!L18)</f>
        <v>-</v>
      </c>
    </row>
    <row r="14" customFormat="false" ht="15" hidden="false" customHeight="true" outlineLevel="0" collapsed="false">
      <c r="A14" s="9" t="s">
        <v>100</v>
      </c>
      <c r="B14" s="11" t="n">
        <f aca="false">'1. Inputs'!B60</f>
        <v>0</v>
      </c>
      <c r="C14" s="11" t="n">
        <f aca="false">'1. Inputs'!C60</f>
        <v>0</v>
      </c>
      <c r="D14" s="11" t="n">
        <f aca="false">'1. Inputs'!D60</f>
        <v>0</v>
      </c>
      <c r="E14" s="11" t="n">
        <f aca="false">'1. Inputs'!E60</f>
        <v>0</v>
      </c>
      <c r="F14" s="11" t="n">
        <f aca="false">'1. Inputs'!F60</f>
        <v>0</v>
      </c>
      <c r="G14" s="11" t="n">
        <f aca="false">'1. Inputs'!G60</f>
        <v>0</v>
      </c>
      <c r="H14" s="11" t="n">
        <f aca="false">'1. Inputs'!H60</f>
        <v>0</v>
      </c>
      <c r="I14" s="11" t="n">
        <f aca="false">'1. Inputs'!I60</f>
        <v>0</v>
      </c>
      <c r="J14" s="11" t="n">
        <f aca="false">'1. Inputs'!J60</f>
        <v>0</v>
      </c>
      <c r="K14" s="11" t="n">
        <f aca="false">'1. Inputs'!K60</f>
        <v>0</v>
      </c>
      <c r="L14" s="11" t="n">
        <f aca="false">'1. Inputs'!L60</f>
        <v>0</v>
      </c>
    </row>
    <row r="15" customFormat="false" ht="15" hidden="false" customHeight="true" outlineLevel="0" collapsed="false">
      <c r="A15" s="9" t="s">
        <v>159</v>
      </c>
      <c r="B15" s="11" t="n">
        <f aca="false">'1. Inputs'!B18-ABS('1. Inputs'!B60)</f>
        <v>0</v>
      </c>
      <c r="C15" s="11" t="n">
        <f aca="false">'1. Inputs'!C18-ABS('1. Inputs'!C60)</f>
        <v>0</v>
      </c>
      <c r="D15" s="11" t="n">
        <f aca="false">'1. Inputs'!D18-ABS('1. Inputs'!D60)</f>
        <v>0</v>
      </c>
      <c r="E15" s="11" t="n">
        <f aca="false">'1. Inputs'!E18-ABS('1. Inputs'!E60)</f>
        <v>0</v>
      </c>
      <c r="F15" s="11" t="n">
        <f aca="false">'1. Inputs'!F18-ABS('1. Inputs'!F60)</f>
        <v>0</v>
      </c>
      <c r="G15" s="11" t="n">
        <f aca="false">'1. Inputs'!G18-ABS('1. Inputs'!G60)</f>
        <v>0</v>
      </c>
      <c r="H15" s="11" t="n">
        <f aca="false">'1. Inputs'!H18-ABS('1. Inputs'!H60)</f>
        <v>0</v>
      </c>
      <c r="I15" s="11" t="n">
        <f aca="false">'1. Inputs'!I18-ABS('1. Inputs'!I60)</f>
        <v>0</v>
      </c>
      <c r="J15" s="11" t="n">
        <f aca="false">'1. Inputs'!J18-ABS('1. Inputs'!J60)</f>
        <v>0</v>
      </c>
      <c r="K15" s="11" t="n">
        <f aca="false">'1. Inputs'!K18-ABS('1. Inputs'!K60)</f>
        <v>0</v>
      </c>
      <c r="L15" s="11" t="n">
        <f aca="false">'1. Inputs'!L18-ABS('1. Inputs'!L60)</f>
        <v>0</v>
      </c>
    </row>
    <row r="16" customFormat="false" ht="15" hidden="false" customHeight="true" outlineLevel="0" collapsed="false">
      <c r="A16" s="9" t="s">
        <v>160</v>
      </c>
      <c r="B16" s="12" t="str">
        <f aca="false">IF(OR('1. Inputs'!B18=0,'1. Inputs'!B18=""),"-",1-ABS('1. Inputs'!B60)/'1. Inputs'!B18)</f>
        <v>-</v>
      </c>
      <c r="C16" s="12" t="str">
        <f aca="false">IF(OR('1. Inputs'!C18=0,'1. Inputs'!C18=""),"-",1-ABS('1. Inputs'!C60)/'1. Inputs'!C18)</f>
        <v>-</v>
      </c>
      <c r="D16" s="12" t="str">
        <f aca="false">IF(OR('1. Inputs'!D18=0,'1. Inputs'!D18=""),"-",1-ABS('1. Inputs'!D60)/'1. Inputs'!D18)</f>
        <v>-</v>
      </c>
      <c r="E16" s="12" t="str">
        <f aca="false">IF(OR('1. Inputs'!E18=0,'1. Inputs'!E18=""),"-",1-ABS('1. Inputs'!E60)/'1. Inputs'!E18)</f>
        <v>-</v>
      </c>
      <c r="F16" s="12" t="str">
        <f aca="false">IF(OR('1. Inputs'!F18=0,'1. Inputs'!F18=""),"-",1-ABS('1. Inputs'!F60)/'1. Inputs'!F18)</f>
        <v>-</v>
      </c>
      <c r="G16" s="12" t="str">
        <f aca="false">IF(OR('1. Inputs'!G18=0,'1. Inputs'!G18=""),"-",1-ABS('1. Inputs'!G60)/'1. Inputs'!G18)</f>
        <v>-</v>
      </c>
      <c r="H16" s="12" t="str">
        <f aca="false">IF(OR('1. Inputs'!H18=0,'1. Inputs'!H18=""),"-",1-ABS('1. Inputs'!H60)/'1. Inputs'!H18)</f>
        <v>-</v>
      </c>
      <c r="I16" s="12" t="str">
        <f aca="false">IF(OR('1. Inputs'!I18=0,'1. Inputs'!I18=""),"-",1-ABS('1. Inputs'!I60)/'1. Inputs'!I18)</f>
        <v>-</v>
      </c>
      <c r="J16" s="12" t="str">
        <f aca="false">IF(OR('1. Inputs'!J18=0,'1. Inputs'!J18=""),"-",1-ABS('1. Inputs'!J60)/'1. Inputs'!J18)</f>
        <v>-</v>
      </c>
      <c r="K16" s="12" t="str">
        <f aca="false">IF(OR('1. Inputs'!K18=0,'1. Inputs'!K18=""),"-",1-ABS('1. Inputs'!K60)/'1. Inputs'!K18)</f>
        <v>-</v>
      </c>
      <c r="L16" s="12" t="str">
        <f aca="false">IF(OR('1. Inputs'!L18=0,'1. Inputs'!L18=""),"-",1-ABS('1. Inputs'!L60)/'1. Inputs'!L18)</f>
        <v>-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12" min="2" style="1" width="14"/>
  </cols>
  <sheetData>
    <row r="1" customFormat="false" ht="15.75" hidden="false" customHeight="true" outlineLevel="0" collapsed="false">
      <c r="A1" s="10" t="s">
        <v>161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3" customFormat="false" ht="15" hidden="false" customHeight="true" outlineLevel="0" collapsed="false">
      <c r="A3" s="7" t="s">
        <v>45</v>
      </c>
      <c r="B3" s="7" t="n">
        <f aca="false">'1. Inputs'!B11</f>
        <v>0</v>
      </c>
      <c r="C3" s="7" t="n">
        <f aca="false">'1. Inputs'!C11</f>
        <v>0</v>
      </c>
      <c r="D3" s="7" t="n">
        <f aca="false">'1. Inputs'!D11</f>
        <v>0</v>
      </c>
      <c r="E3" s="7" t="n">
        <f aca="false">'1. Inputs'!E11</f>
        <v>0</v>
      </c>
      <c r="F3" s="7" t="n">
        <f aca="false">'1. Inputs'!F11</f>
        <v>0</v>
      </c>
      <c r="G3" s="7" t="n">
        <f aca="false">'1. Inputs'!G11</f>
        <v>0</v>
      </c>
      <c r="H3" s="7" t="n">
        <f aca="false">'1. Inputs'!H11</f>
        <v>0</v>
      </c>
      <c r="I3" s="7" t="n">
        <f aca="false">'1. Inputs'!I11</f>
        <v>0</v>
      </c>
      <c r="J3" s="7" t="n">
        <f aca="false">'1. Inputs'!J11</f>
        <v>0</v>
      </c>
      <c r="K3" s="7" t="n">
        <f aca="false">'1. Inputs'!K11</f>
        <v>0</v>
      </c>
      <c r="L3" s="7" t="n">
        <f aca="false">'1. Inputs'!L11</f>
        <v>0</v>
      </c>
    </row>
    <row r="4" customFormat="false" ht="15" hidden="false" customHeight="true" outlineLevel="0" collapsed="false">
      <c r="A4" s="9" t="s">
        <v>162</v>
      </c>
      <c r="B4" s="12" t="str">
        <f aca="false">IF(OR('1. Inputs'!B34=0,'1. Inputs'!B34=""),"-",'1. Inputs'!B18/'1. Inputs'!B34)</f>
        <v>-</v>
      </c>
      <c r="C4" s="12" t="str">
        <f aca="false">IF(OR(('1. Inputs'!C34+'1. Inputs'!B34)/2=0),"-",'1. Inputs'!C18/(('1. Inputs'!C34+'1. Inputs'!B34)/2))</f>
        <v>-</v>
      </c>
      <c r="D4" s="12" t="str">
        <f aca="false">IF(OR(('1. Inputs'!D34+'1. Inputs'!C34)/2=0),"-",'1. Inputs'!D18/(('1. Inputs'!D34+'1. Inputs'!C34)/2))</f>
        <v>-</v>
      </c>
      <c r="E4" s="12" t="str">
        <f aca="false">IF(OR(('1. Inputs'!E34+'1. Inputs'!D34)/2=0),"-",'1. Inputs'!E18/(('1. Inputs'!E34+'1. Inputs'!D34)/2))</f>
        <v>-</v>
      </c>
      <c r="F4" s="12" t="str">
        <f aca="false">IF(OR(('1. Inputs'!F34+'1. Inputs'!E34)/2=0),"-",'1. Inputs'!F18/(('1. Inputs'!F34+'1. Inputs'!E34)/2))</f>
        <v>-</v>
      </c>
      <c r="G4" s="12" t="str">
        <f aca="false">IF(OR(('1. Inputs'!G34+'1. Inputs'!F34)/2=0),"-",'1. Inputs'!G18/(('1. Inputs'!G34+'1. Inputs'!F34)/2))</f>
        <v>-</v>
      </c>
      <c r="H4" s="12" t="str">
        <f aca="false">IF(OR(('1. Inputs'!H34+'1. Inputs'!G34)/2=0),"-",'1. Inputs'!H18/(('1. Inputs'!H34+'1. Inputs'!G34)/2))</f>
        <v>-</v>
      </c>
      <c r="I4" s="12" t="str">
        <f aca="false">IF(OR(('1. Inputs'!I34+'1. Inputs'!H34)/2=0),"-",'1. Inputs'!I18/(('1. Inputs'!I34+'1. Inputs'!H34)/2))</f>
        <v>-</v>
      </c>
      <c r="J4" s="12" t="str">
        <f aca="false">IF(OR(('1. Inputs'!J34+'1. Inputs'!I34)/2=0),"-",'1. Inputs'!J18/(('1. Inputs'!J34+'1. Inputs'!I34)/2))</f>
        <v>-</v>
      </c>
      <c r="K4" s="12" t="str">
        <f aca="false">IF(OR(('1. Inputs'!K34+'1. Inputs'!J34)/2=0),"-",'1. Inputs'!K18/(('1. Inputs'!K34+'1. Inputs'!J34)/2))</f>
        <v>-</v>
      </c>
      <c r="L4" s="12" t="str">
        <f aca="false">IF(OR(('1. Inputs'!L34+'1. Inputs'!K34)/2=0),"-",'1. Inputs'!L18/(('1. Inputs'!L34+'1. Inputs'!K34)/2))</f>
        <v>-</v>
      </c>
    </row>
    <row r="5" customFormat="false" ht="15" hidden="false" customHeight="true" outlineLevel="0" collapsed="false">
      <c r="A5" s="9" t="s">
        <v>163</v>
      </c>
      <c r="B5" s="12" t="str">
        <f aca="false">IF(OR('1. Inputs'!B32=0,'1. Inputs'!B32=""),"-",'1. Inputs'!B18/'1. Inputs'!B32)</f>
        <v>-</v>
      </c>
      <c r="C5" s="12" t="str">
        <f aca="false">IF(OR(('1. Inputs'!C32+'1. Inputs'!B32)/2=0),"-",'1. Inputs'!C18/(('1. Inputs'!C32+'1. Inputs'!B32)/2))</f>
        <v>-</v>
      </c>
      <c r="D5" s="12" t="str">
        <f aca="false">IF(OR(('1. Inputs'!D32+'1. Inputs'!C32)/2=0),"-",'1. Inputs'!D18/(('1. Inputs'!D32+'1. Inputs'!C32)/2))</f>
        <v>-</v>
      </c>
      <c r="E5" s="12" t="str">
        <f aca="false">IF(OR(('1. Inputs'!E32+'1. Inputs'!D32)/2=0),"-",'1. Inputs'!E18/(('1. Inputs'!E32+'1. Inputs'!D32)/2))</f>
        <v>-</v>
      </c>
      <c r="F5" s="12" t="str">
        <f aca="false">IF(OR(('1. Inputs'!F32+'1. Inputs'!E32)/2=0),"-",'1. Inputs'!F18/(('1. Inputs'!F32+'1. Inputs'!E32)/2))</f>
        <v>-</v>
      </c>
      <c r="G5" s="12" t="str">
        <f aca="false">IF(OR(('1. Inputs'!G32+'1. Inputs'!F32)/2=0),"-",'1. Inputs'!G18/(('1. Inputs'!G32+'1. Inputs'!F32)/2))</f>
        <v>-</v>
      </c>
      <c r="H5" s="12" t="str">
        <f aca="false">IF(OR(('1. Inputs'!H32+'1. Inputs'!G32)/2=0),"-",'1. Inputs'!H18/(('1. Inputs'!H32+'1. Inputs'!G32)/2))</f>
        <v>-</v>
      </c>
      <c r="I5" s="12" t="str">
        <f aca="false">IF(OR(('1. Inputs'!I32+'1. Inputs'!H32)/2=0),"-",'1. Inputs'!I18/(('1. Inputs'!I32+'1. Inputs'!H32)/2))</f>
        <v>-</v>
      </c>
      <c r="J5" s="12" t="str">
        <f aca="false">IF(OR(('1. Inputs'!J32+'1. Inputs'!I32)/2=0),"-",'1. Inputs'!J18/(('1. Inputs'!J32+'1. Inputs'!I32)/2))</f>
        <v>-</v>
      </c>
      <c r="K5" s="12" t="str">
        <f aca="false">IF(OR(('1. Inputs'!K32+'1. Inputs'!J32)/2=0),"-",'1. Inputs'!K18/(('1. Inputs'!K32+'1. Inputs'!J32)/2))</f>
        <v>-</v>
      </c>
      <c r="L5" s="12" t="str">
        <f aca="false">IF(OR(('1. Inputs'!L32+'1. Inputs'!K32)/2=0),"-",'1. Inputs'!L18/(('1. Inputs'!L32+'1. Inputs'!K32)/2))</f>
        <v>-</v>
      </c>
    </row>
    <row r="6" customFormat="false" ht="15" hidden="false" customHeight="true" outlineLevel="0" collapsed="false">
      <c r="A6" s="9" t="s">
        <v>164</v>
      </c>
    </row>
    <row r="7" customFormat="false" ht="15" hidden="false" customHeight="true" outlineLevel="0" collapsed="false">
      <c r="A7" s="9" t="s">
        <v>165</v>
      </c>
      <c r="B7" s="12" t="str">
        <f aca="false">IF(OR('1. Inputs'!B12=0,'1. Inputs'!B12=""),"-",'1. Inputs'!B18/'1. Inputs'!B12)</f>
        <v>-</v>
      </c>
      <c r="C7" s="12" t="str">
        <f aca="false">IF(OR('1. Inputs'!C12=0,'1. Inputs'!C12=""),"-",'1. Inputs'!C18/'1. Inputs'!C12)</f>
        <v>-</v>
      </c>
      <c r="D7" s="12" t="str">
        <f aca="false">IF(OR('1. Inputs'!D12=0,'1. Inputs'!D12=""),"-",'1. Inputs'!D18/'1. Inputs'!D12)</f>
        <v>-</v>
      </c>
      <c r="E7" s="12" t="str">
        <f aca="false">IF(OR('1. Inputs'!E12=0,'1. Inputs'!E12=""),"-",'1. Inputs'!E18/'1. Inputs'!E12)</f>
        <v>-</v>
      </c>
      <c r="F7" s="12" t="str">
        <f aca="false">IF(OR('1. Inputs'!F12=0,'1. Inputs'!F12=""),"-",'1. Inputs'!F18/'1. Inputs'!F12)</f>
        <v>-</v>
      </c>
      <c r="G7" s="12" t="str">
        <f aca="false">IF(OR('1. Inputs'!G12=0,'1. Inputs'!G12=""),"-",'1. Inputs'!G18/'1. Inputs'!G12)</f>
        <v>-</v>
      </c>
      <c r="H7" s="12" t="str">
        <f aca="false">IF(OR('1. Inputs'!H12=0,'1. Inputs'!H12=""),"-",'1. Inputs'!H18/'1. Inputs'!H12)</f>
        <v>-</v>
      </c>
      <c r="I7" s="12" t="str">
        <f aca="false">IF(OR('1. Inputs'!I12=0,'1. Inputs'!I12=""),"-",'1. Inputs'!I18/'1. Inputs'!I12)</f>
        <v>-</v>
      </c>
      <c r="J7" s="12" t="str">
        <f aca="false">IF(OR('1. Inputs'!J12=0,'1. Inputs'!J12=""),"-",'1. Inputs'!J18/'1. Inputs'!J12)</f>
        <v>-</v>
      </c>
      <c r="K7" s="12" t="str">
        <f aca="false">IF(OR('1. Inputs'!K12=0,'1. Inputs'!K12=""),"-",'1. Inputs'!K18/'1. Inputs'!K12)</f>
        <v>-</v>
      </c>
      <c r="L7" s="12" t="str">
        <f aca="false">IF(OR('1. Inputs'!L12=0,'1. Inputs'!L12=""),"-",'1. Inputs'!L18/'1. Inputs'!L12)</f>
        <v>-</v>
      </c>
    </row>
    <row r="8" customFormat="false" ht="15" hidden="false" customHeight="true" outlineLevel="0" collapsed="false">
      <c r="A8" s="9" t="s">
        <v>166</v>
      </c>
      <c r="B8" s="14" t="str">
        <f aca="false">IF(OR('1. Inputs'!B32=0),"-",'1. Inputs'!B12/'1. Inputs'!B32)</f>
        <v>-</v>
      </c>
      <c r="C8" s="14" t="str">
        <f aca="false">IF(OR(('1. Inputs'!C32+'1. Inputs'!B32)/2=0),"-",'1. Inputs'!C12/(('1. Inputs'!C32+'1. Inputs'!B32)/2))</f>
        <v>-</v>
      </c>
      <c r="D8" s="14" t="str">
        <f aca="false">IF(OR(('1. Inputs'!D32+'1. Inputs'!C32)/2=0),"-",'1. Inputs'!D12/(('1. Inputs'!D32+'1. Inputs'!C32)/2))</f>
        <v>-</v>
      </c>
      <c r="E8" s="14" t="str">
        <f aca="false">IF(OR(('1. Inputs'!E32+'1. Inputs'!D32)/2=0),"-",'1. Inputs'!E12/(('1. Inputs'!E32+'1. Inputs'!D32)/2))</f>
        <v>-</v>
      </c>
      <c r="F8" s="14" t="str">
        <f aca="false">IF(OR(('1. Inputs'!F32+'1. Inputs'!E32)/2=0),"-",'1. Inputs'!F12/(('1. Inputs'!F32+'1. Inputs'!E32)/2))</f>
        <v>-</v>
      </c>
      <c r="G8" s="14" t="str">
        <f aca="false">IF(OR(('1. Inputs'!G32+'1. Inputs'!F32)/2=0),"-",'1. Inputs'!G12/(('1. Inputs'!G32+'1. Inputs'!F32)/2))</f>
        <v>-</v>
      </c>
      <c r="H8" s="14" t="str">
        <f aca="false">IF(OR(('1. Inputs'!H32+'1. Inputs'!G32)/2=0),"-",'1. Inputs'!H12/(('1. Inputs'!H32+'1. Inputs'!G32)/2))</f>
        <v>-</v>
      </c>
      <c r="I8" s="14" t="str">
        <f aca="false">IF(OR(('1. Inputs'!I32+'1. Inputs'!H32)/2=0),"-",'1. Inputs'!I12/(('1. Inputs'!I32+'1. Inputs'!H32)/2))</f>
        <v>-</v>
      </c>
      <c r="J8" s="14" t="str">
        <f aca="false">IF(OR(('1. Inputs'!J32+'1. Inputs'!I32)/2=0),"-",'1. Inputs'!J12/(('1. Inputs'!J32+'1. Inputs'!I32)/2))</f>
        <v>-</v>
      </c>
      <c r="K8" s="14" t="str">
        <f aca="false">IF(OR(('1. Inputs'!K32+'1. Inputs'!J32)/2=0),"-",'1. Inputs'!K12/(('1. Inputs'!K32+'1. Inputs'!J32)/2))</f>
        <v>-</v>
      </c>
      <c r="L8" s="14" t="str">
        <f aca="false">IF(OR(('1. Inputs'!L32+'1. Inputs'!K32)/2=0),"-",'1. Inputs'!L12/(('1. Inputs'!L32+'1. Inputs'!K32)/2))</f>
        <v>-</v>
      </c>
    </row>
    <row r="9" customFormat="false" ht="15" hidden="false" customHeight="true" outlineLevel="0" collapsed="false">
      <c r="A9" s="9" t="s">
        <v>167</v>
      </c>
      <c r="B9" s="14" t="str">
        <f aca="false">IF(OR('1. Inputs'!B34=0),"-",'1. Inputs'!B32/'1. Inputs'!B34)</f>
        <v>-</v>
      </c>
      <c r="C9" s="14" t="str">
        <f aca="false">IF(OR(('1. Inputs'!C34+'1. Inputs'!B34)/2=0),"-",(('1. Inputs'!C32+'1. Inputs'!B32)/2)/(('1. Inputs'!C34+'1. Inputs'!B34)/2))</f>
        <v>-</v>
      </c>
      <c r="D9" s="14" t="str">
        <f aca="false">IF(OR(('1. Inputs'!D34+'1. Inputs'!C34)/2=0),"-",(('1. Inputs'!D32+'1. Inputs'!C32)/2)/(('1. Inputs'!D34+'1. Inputs'!C34)/2))</f>
        <v>-</v>
      </c>
      <c r="E9" s="14" t="str">
        <f aca="false">IF(OR(('1. Inputs'!E34+'1. Inputs'!D34)/2=0),"-",(('1. Inputs'!E32+'1. Inputs'!D32)/2)/(('1. Inputs'!E34+'1. Inputs'!D34)/2))</f>
        <v>-</v>
      </c>
      <c r="F9" s="14" t="str">
        <f aca="false">IF(OR(('1. Inputs'!F34+'1. Inputs'!E34)/2=0),"-",(('1. Inputs'!F32+'1. Inputs'!E32)/2)/(('1. Inputs'!F34+'1. Inputs'!E34)/2))</f>
        <v>-</v>
      </c>
      <c r="G9" s="14" t="str">
        <f aca="false">IF(OR(('1. Inputs'!G34+'1. Inputs'!F34)/2=0),"-",(('1. Inputs'!G32+'1. Inputs'!F32)/2)/(('1. Inputs'!G34+'1. Inputs'!F34)/2))</f>
        <v>-</v>
      </c>
      <c r="H9" s="14" t="str">
        <f aca="false">IF(OR(('1. Inputs'!H34+'1. Inputs'!G34)/2=0),"-",(('1. Inputs'!H32+'1. Inputs'!G32)/2)/(('1. Inputs'!H34+'1. Inputs'!G34)/2))</f>
        <v>-</v>
      </c>
      <c r="I9" s="14" t="str">
        <f aca="false">IF(OR(('1. Inputs'!I34+'1. Inputs'!H34)/2=0),"-",(('1. Inputs'!I32+'1. Inputs'!H32)/2)/(('1. Inputs'!I34+'1. Inputs'!H34)/2))</f>
        <v>-</v>
      </c>
      <c r="J9" s="14" t="str">
        <f aca="false">IF(OR(('1. Inputs'!J34+'1. Inputs'!I34)/2=0),"-",(('1. Inputs'!J32+'1. Inputs'!I32)/2)/(('1. Inputs'!J34+'1. Inputs'!I34)/2))</f>
        <v>-</v>
      </c>
      <c r="K9" s="14" t="str">
        <f aca="false">IF(OR(('1. Inputs'!K34+'1. Inputs'!J34)/2=0),"-",(('1. Inputs'!K32+'1. Inputs'!J32)/2)/(('1. Inputs'!K34+'1. Inputs'!J34)/2))</f>
        <v>-</v>
      </c>
      <c r="L9" s="14" t="str">
        <f aca="false">IF(OR(('1. Inputs'!L34+'1. Inputs'!K34)/2=0),"-",(('1. Inputs'!L32+'1. Inputs'!K32)/2)/(('1. Inputs'!L34+'1. Inputs'!K34)/2))</f>
        <v>-</v>
      </c>
    </row>
    <row r="10" customFormat="false" ht="15" hidden="false" customHeight="true" outlineLevel="0" collapsed="false">
      <c r="A10" s="9" t="s">
        <v>168</v>
      </c>
      <c r="B10" s="12" t="str">
        <f aca="false">IFERROR(B7*B8*B9,"-")</f>
        <v>-</v>
      </c>
      <c r="C10" s="12" t="str">
        <f aca="false">IFERROR(C7*C8*C9,"-")</f>
        <v>-</v>
      </c>
      <c r="D10" s="12" t="str">
        <f aca="false">IFERROR(D7*D8*D9,"-")</f>
        <v>-</v>
      </c>
      <c r="E10" s="12" t="str">
        <f aca="false">IFERROR(E7*E8*E9,"-")</f>
        <v>-</v>
      </c>
      <c r="F10" s="12" t="str">
        <f aca="false">IFERROR(F7*F8*F9,"-")</f>
        <v>-</v>
      </c>
      <c r="G10" s="12" t="str">
        <f aca="false">IFERROR(G7*G8*G9,"-")</f>
        <v>-</v>
      </c>
      <c r="H10" s="12" t="str">
        <f aca="false">IFERROR(H7*H8*H9,"-")</f>
        <v>-</v>
      </c>
      <c r="I10" s="12" t="str">
        <f aca="false">IFERROR(I7*I8*I9,"-")</f>
        <v>-</v>
      </c>
      <c r="J10" s="12" t="str">
        <f aca="false">IFERROR(J7*J8*J9,"-")</f>
        <v>-</v>
      </c>
      <c r="K10" s="12" t="str">
        <f aca="false">IFERROR(K7*K8*K9,"-")</f>
        <v>-</v>
      </c>
      <c r="L10" s="12" t="str">
        <f aca="false">IFERROR(L7*L8*L9,"-")</f>
        <v>-</v>
      </c>
    </row>
    <row r="11" customFormat="false" ht="15" hidden="false" customHeight="true" outlineLevel="0" collapsed="false">
      <c r="A11" s="9" t="s">
        <v>169</v>
      </c>
    </row>
    <row r="12" customFormat="false" ht="15" hidden="false" customHeight="true" outlineLevel="0" collapsed="false">
      <c r="A12" s="9" t="s">
        <v>170</v>
      </c>
      <c r="B12" s="12" t="str">
        <f aca="false">IF(OR(('1. Inputs'!B34+'1. Inputs'!B35)=0),"-",('1. Inputs'!B13-'1. Inputs'!B14)/('1. Inputs'!B34+'1. Inputs'!B35))</f>
        <v>-</v>
      </c>
      <c r="C12" s="12" t="str">
        <f aca="false">IF(OR(('1. Inputs'!C34+'1. Inputs'!C35)=0),"-",('1. Inputs'!C13-'1. Inputs'!C14)/('1. Inputs'!C34+'1. Inputs'!C35))</f>
        <v>-</v>
      </c>
      <c r="D12" s="12" t="str">
        <f aca="false">IF(OR(('1. Inputs'!D34+'1. Inputs'!D35)=0),"-",('1. Inputs'!D13-'1. Inputs'!D14)/('1. Inputs'!D34+'1. Inputs'!D35))</f>
        <v>-</v>
      </c>
      <c r="E12" s="12" t="str">
        <f aca="false">IF(OR(('1. Inputs'!E34+'1. Inputs'!E35)=0),"-",('1. Inputs'!E13-'1. Inputs'!E14)/('1. Inputs'!E34+'1. Inputs'!E35))</f>
        <v>-</v>
      </c>
      <c r="F12" s="12" t="str">
        <f aca="false">IF(OR(('1. Inputs'!F34+'1. Inputs'!F35)=0),"-",('1. Inputs'!F13-'1. Inputs'!F14)/('1. Inputs'!F34+'1. Inputs'!F35))</f>
        <v>-</v>
      </c>
      <c r="G12" s="12" t="str">
        <f aca="false">IF(OR(('1. Inputs'!G34+'1. Inputs'!G35)=0),"-",('1. Inputs'!G13-'1. Inputs'!G14)/('1. Inputs'!G34+'1. Inputs'!G35))</f>
        <v>-</v>
      </c>
      <c r="H12" s="12" t="str">
        <f aca="false">IF(OR(('1. Inputs'!H34+'1. Inputs'!H35)=0),"-",('1. Inputs'!H13-'1. Inputs'!H14)/('1. Inputs'!H34+'1. Inputs'!H35))</f>
        <v>-</v>
      </c>
      <c r="I12" s="12" t="str">
        <f aca="false">IF(OR(('1. Inputs'!I34+'1. Inputs'!I35)=0),"-",('1. Inputs'!I13-'1. Inputs'!I14)/('1. Inputs'!I34+'1. Inputs'!I35))</f>
        <v>-</v>
      </c>
      <c r="J12" s="12" t="str">
        <f aca="false">IF(OR(('1. Inputs'!J34+'1. Inputs'!J35)=0),"-",('1. Inputs'!J13-'1. Inputs'!J14)/('1. Inputs'!J34+'1. Inputs'!J35))</f>
        <v>-</v>
      </c>
      <c r="K12" s="12" t="str">
        <f aca="false">IF(OR(('1. Inputs'!K34+'1. Inputs'!K35)=0),"-",('1. Inputs'!K13-'1. Inputs'!K14)/('1. Inputs'!K34+'1. Inputs'!K35))</f>
        <v>-</v>
      </c>
      <c r="L12" s="12" t="str">
        <f aca="false">IF(OR(('1. Inputs'!L34+'1. Inputs'!L35)=0),"-",('1. Inputs'!L13-'1. Inputs'!L14)/('1. Inputs'!L34+'1. Inputs'!L35))</f>
        <v>-</v>
      </c>
    </row>
    <row r="13" customFormat="false" ht="15" hidden="false" customHeight="true" outlineLevel="0" collapsed="false">
      <c r="A13" s="9" t="s">
        <v>171</v>
      </c>
      <c r="B13" s="12" t="str">
        <f aca="false">IF(OR(('1. Inputs'!B34+'1. Inputs'!B35-'1. Inputs'!B36)=0),"-",('1. Inputs'!B13-'1. Inputs'!B14)*(1-IFERROR('1. Inputs'!B17/'1. Inputs'!B16,0.25))/('1. Inputs'!B34+'1. Inputs'!B35-'1. Inputs'!B36))</f>
        <v>-</v>
      </c>
      <c r="C13" s="12" t="str">
        <f aca="false">IF(OR(('1. Inputs'!C34+'1. Inputs'!C35-'1. Inputs'!C36)=0),"-",('1. Inputs'!C13-'1. Inputs'!C14)*(1-IFERROR('1. Inputs'!C17/'1. Inputs'!C16,0.25))/('1. Inputs'!C34+'1. Inputs'!C35-'1. Inputs'!C36))</f>
        <v>-</v>
      </c>
      <c r="D13" s="12" t="str">
        <f aca="false">IF(OR(('1. Inputs'!D34+'1. Inputs'!D35-'1. Inputs'!D36)=0),"-",('1. Inputs'!D13-'1. Inputs'!D14)*(1-IFERROR('1. Inputs'!D17/'1. Inputs'!D16,0.25))/('1. Inputs'!D34+'1. Inputs'!D35-'1. Inputs'!D36))</f>
        <v>-</v>
      </c>
      <c r="E13" s="12" t="str">
        <f aca="false">IF(OR(('1. Inputs'!E34+'1. Inputs'!E35-'1. Inputs'!E36)=0),"-",('1. Inputs'!E13-'1. Inputs'!E14)*(1-IFERROR('1. Inputs'!E17/'1. Inputs'!E16,0.25))/('1. Inputs'!E34+'1. Inputs'!E35-'1. Inputs'!E36))</f>
        <v>-</v>
      </c>
      <c r="F13" s="12" t="str">
        <f aca="false">IF(OR(('1. Inputs'!F34+'1. Inputs'!F35-'1. Inputs'!F36)=0),"-",('1. Inputs'!F13-'1. Inputs'!F14)*(1-IFERROR('1. Inputs'!F17/'1. Inputs'!F16,0.25))/('1. Inputs'!F34+'1. Inputs'!F35-'1. Inputs'!F36))</f>
        <v>-</v>
      </c>
      <c r="G13" s="12" t="str">
        <f aca="false">IF(OR(('1. Inputs'!G34+'1. Inputs'!G35-'1. Inputs'!G36)=0),"-",('1. Inputs'!G13-'1. Inputs'!G14)*(1-IFERROR('1. Inputs'!G17/'1. Inputs'!G16,0.25))/('1. Inputs'!G34+'1. Inputs'!G35-'1. Inputs'!G36))</f>
        <v>-</v>
      </c>
      <c r="H13" s="12" t="str">
        <f aca="false">IF(OR(('1. Inputs'!H34+'1. Inputs'!H35-'1. Inputs'!H36)=0),"-",('1. Inputs'!H13-'1. Inputs'!H14)*(1-IFERROR('1. Inputs'!H17/'1. Inputs'!H16,0.25))/('1. Inputs'!H34+'1. Inputs'!H35-'1. Inputs'!H36))</f>
        <v>-</v>
      </c>
      <c r="I13" s="12" t="str">
        <f aca="false">IF(OR(('1. Inputs'!I34+'1. Inputs'!I35-'1. Inputs'!I36)=0),"-",('1. Inputs'!I13-'1. Inputs'!I14)*(1-IFERROR('1. Inputs'!I17/'1. Inputs'!I16,0.25))/('1. Inputs'!I34+'1. Inputs'!I35-'1. Inputs'!I36))</f>
        <v>-</v>
      </c>
      <c r="J13" s="12" t="str">
        <f aca="false">IF(OR(('1. Inputs'!J34+'1. Inputs'!J35-'1. Inputs'!J36)=0),"-",('1. Inputs'!J13-'1. Inputs'!J14)*(1-IFERROR('1. Inputs'!J17/'1. Inputs'!J16,0.25))/('1. Inputs'!J34+'1. Inputs'!J35-'1. Inputs'!J36))</f>
        <v>-</v>
      </c>
      <c r="K13" s="12" t="str">
        <f aca="false">IF(OR(('1. Inputs'!K34+'1. Inputs'!K35-'1. Inputs'!K36)=0),"-",('1. Inputs'!K13-'1. Inputs'!K14)*(1-IFERROR('1. Inputs'!K17/'1. Inputs'!K16,0.25))/('1. Inputs'!K34+'1. Inputs'!K35-'1. Inputs'!K36))</f>
        <v>-</v>
      </c>
      <c r="L13" s="12" t="str">
        <f aca="false">IF(OR(('1. Inputs'!L34+'1. Inputs'!L35-'1. Inputs'!L36)=0),"-",('1. Inputs'!L13-'1. Inputs'!L14)*(1-IFERROR('1. Inputs'!L17/'1. Inputs'!L16,0.25))/('1. Inputs'!L34+'1. Inputs'!L35-'1. Inputs'!L36))</f>
        <v>-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12" min="2" style="1" width="14"/>
  </cols>
  <sheetData>
    <row r="1" customFormat="false" ht="15.75" hidden="false" customHeight="true" outlineLevel="0" collapsed="false">
      <c r="A1" s="10" t="s">
        <v>172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3" customFormat="false" ht="15" hidden="false" customHeight="true" outlineLevel="0" collapsed="false">
      <c r="A3" s="7" t="s">
        <v>45</v>
      </c>
      <c r="B3" s="7" t="n">
        <f aca="false">'1. Inputs'!B11</f>
        <v>0</v>
      </c>
      <c r="C3" s="7" t="n">
        <f aca="false">'1. Inputs'!C11</f>
        <v>0</v>
      </c>
      <c r="D3" s="7" t="n">
        <f aca="false">'1. Inputs'!D11</f>
        <v>0</v>
      </c>
      <c r="E3" s="7" t="n">
        <f aca="false">'1. Inputs'!E11</f>
        <v>0</v>
      </c>
      <c r="F3" s="7" t="n">
        <f aca="false">'1. Inputs'!F11</f>
        <v>0</v>
      </c>
      <c r="G3" s="7" t="n">
        <f aca="false">'1. Inputs'!G11</f>
        <v>0</v>
      </c>
      <c r="H3" s="7" t="n">
        <f aca="false">'1. Inputs'!H11</f>
        <v>0</v>
      </c>
      <c r="I3" s="7" t="n">
        <f aca="false">'1. Inputs'!I11</f>
        <v>0</v>
      </c>
      <c r="J3" s="7" t="n">
        <f aca="false">'1. Inputs'!J11</f>
        <v>0</v>
      </c>
      <c r="K3" s="7" t="n">
        <f aca="false">'1. Inputs'!K11</f>
        <v>0</v>
      </c>
      <c r="L3" s="7" t="n">
        <f aca="false">'1. Inputs'!L11</f>
        <v>0</v>
      </c>
    </row>
    <row r="4" customFormat="false" ht="15" hidden="false" customHeight="true" outlineLevel="0" collapsed="false">
      <c r="A4" s="9" t="s">
        <v>122</v>
      </c>
      <c r="B4" s="11" t="n">
        <f aca="false">'1. Inputs'!B12</f>
        <v>0</v>
      </c>
      <c r="C4" s="11" t="n">
        <f aca="false">'1. Inputs'!C12</f>
        <v>0</v>
      </c>
      <c r="D4" s="11" t="n">
        <f aca="false">'1. Inputs'!D12</f>
        <v>0</v>
      </c>
      <c r="E4" s="11" t="n">
        <f aca="false">'1. Inputs'!E12</f>
        <v>0</v>
      </c>
      <c r="F4" s="11" t="n">
        <f aca="false">'1. Inputs'!F12</f>
        <v>0</v>
      </c>
      <c r="G4" s="11" t="n">
        <f aca="false">'1. Inputs'!G12</f>
        <v>0</v>
      </c>
      <c r="H4" s="11" t="n">
        <f aca="false">'1. Inputs'!H12</f>
        <v>0</v>
      </c>
      <c r="I4" s="11" t="n">
        <f aca="false">'1. Inputs'!I12</f>
        <v>0</v>
      </c>
      <c r="J4" s="11" t="n">
        <f aca="false">'1. Inputs'!J12</f>
        <v>0</v>
      </c>
      <c r="K4" s="11" t="n">
        <f aca="false">'1. Inputs'!K12</f>
        <v>0</v>
      </c>
      <c r="L4" s="11" t="n">
        <f aca="false">'1. Inputs'!L12</f>
        <v>0</v>
      </c>
    </row>
    <row r="5" customFormat="false" ht="15" hidden="false" customHeight="true" outlineLevel="0" collapsed="false">
      <c r="A5" s="9" t="s">
        <v>173</v>
      </c>
      <c r="B5" s="12" t="s">
        <v>124</v>
      </c>
      <c r="C5" s="12" t="str">
        <f aca="false">IF(OR('1. Inputs'!B12=0,'1. Inputs'!B12=""),"-",('1. Inputs'!C12-'1. Inputs'!B12)/ABS('1. Inputs'!B12))</f>
        <v>-</v>
      </c>
      <c r="D5" s="12" t="str">
        <f aca="false">IF(OR('1. Inputs'!C12=0,'1. Inputs'!C12=""),"-",('1. Inputs'!D12-'1. Inputs'!C12)/ABS('1. Inputs'!C12))</f>
        <v>-</v>
      </c>
      <c r="E5" s="12" t="str">
        <f aca="false">IF(OR('1. Inputs'!D12=0,'1. Inputs'!D12=""),"-",('1. Inputs'!E12-'1. Inputs'!D12)/ABS('1. Inputs'!D12))</f>
        <v>-</v>
      </c>
      <c r="F5" s="12" t="str">
        <f aca="false">IF(OR('1. Inputs'!E12=0,'1. Inputs'!E12=""),"-",('1. Inputs'!F12-'1. Inputs'!E12)/ABS('1. Inputs'!E12))</f>
        <v>-</v>
      </c>
      <c r="G5" s="12" t="str">
        <f aca="false">IF(OR('1. Inputs'!F12=0,'1. Inputs'!F12=""),"-",('1. Inputs'!G12-'1. Inputs'!F12)/ABS('1. Inputs'!F12))</f>
        <v>-</v>
      </c>
      <c r="H5" s="12" t="str">
        <f aca="false">IF(OR('1. Inputs'!G12=0,'1. Inputs'!G12=""),"-",('1. Inputs'!H12-'1. Inputs'!G12)/ABS('1. Inputs'!G12))</f>
        <v>-</v>
      </c>
      <c r="I5" s="12" t="str">
        <f aca="false">IF(OR('1. Inputs'!H12=0,'1. Inputs'!H12=""),"-",('1. Inputs'!I12-'1. Inputs'!H12)/ABS('1. Inputs'!H12))</f>
        <v>-</v>
      </c>
      <c r="J5" s="12" t="str">
        <f aca="false">IF(OR('1. Inputs'!I12=0,'1. Inputs'!I12=""),"-",('1. Inputs'!J12-'1. Inputs'!I12)/ABS('1. Inputs'!I12))</f>
        <v>-</v>
      </c>
      <c r="K5" s="12" t="str">
        <f aca="false">IF(OR('1. Inputs'!J12=0,'1. Inputs'!J12=""),"-",('1. Inputs'!K12-'1. Inputs'!J12)/ABS('1. Inputs'!J12))</f>
        <v>-</v>
      </c>
      <c r="L5" s="12" t="str">
        <f aca="false">IF(OR('1. Inputs'!K12=0,'1. Inputs'!K12=""),"-",('1. Inputs'!L12-'1. Inputs'!K12)/ABS('1. Inputs'!K12))</f>
        <v>-</v>
      </c>
    </row>
    <row r="6" customFormat="false" ht="15" hidden="false" customHeight="true" outlineLevel="0" collapsed="false">
      <c r="A6" s="9" t="s">
        <v>174</v>
      </c>
      <c r="B6" s="11" t="n">
        <f aca="false">'1. Inputs'!B13</f>
        <v>0</v>
      </c>
      <c r="C6" s="11" t="n">
        <f aca="false">'1. Inputs'!C13</f>
        <v>0</v>
      </c>
      <c r="D6" s="11" t="n">
        <f aca="false">'1. Inputs'!D13</f>
        <v>0</v>
      </c>
      <c r="E6" s="11" t="n">
        <f aca="false">'1. Inputs'!E13</f>
        <v>0</v>
      </c>
      <c r="F6" s="11" t="n">
        <f aca="false">'1. Inputs'!F13</f>
        <v>0</v>
      </c>
      <c r="G6" s="11" t="n">
        <f aca="false">'1. Inputs'!G13</f>
        <v>0</v>
      </c>
      <c r="H6" s="11" t="n">
        <f aca="false">'1. Inputs'!H13</f>
        <v>0</v>
      </c>
      <c r="I6" s="11" t="n">
        <f aca="false">'1. Inputs'!I13</f>
        <v>0</v>
      </c>
      <c r="J6" s="11" t="n">
        <f aca="false">'1. Inputs'!J13</f>
        <v>0</v>
      </c>
      <c r="K6" s="11" t="n">
        <f aca="false">'1. Inputs'!K13</f>
        <v>0</v>
      </c>
      <c r="L6" s="11" t="n">
        <f aca="false">'1. Inputs'!L13</f>
        <v>0</v>
      </c>
    </row>
    <row r="7" customFormat="false" ht="15" hidden="false" customHeight="true" outlineLevel="0" collapsed="false">
      <c r="A7" s="9" t="s">
        <v>175</v>
      </c>
      <c r="B7" s="12" t="s">
        <v>124</v>
      </c>
      <c r="C7" s="12" t="str">
        <f aca="false">IF(OR('1. Inputs'!B13=0,'1. Inputs'!B13=""),"-",('1. Inputs'!C13-'1. Inputs'!B13)/ABS('1. Inputs'!B13))</f>
        <v>-</v>
      </c>
      <c r="D7" s="12" t="str">
        <f aca="false">IF(OR('1. Inputs'!C13=0,'1. Inputs'!C13=""),"-",('1. Inputs'!D13-'1. Inputs'!C13)/ABS('1. Inputs'!C13))</f>
        <v>-</v>
      </c>
      <c r="E7" s="12" t="str">
        <f aca="false">IF(OR('1. Inputs'!D13=0,'1. Inputs'!D13=""),"-",('1. Inputs'!E13-'1. Inputs'!D13)/ABS('1. Inputs'!D13))</f>
        <v>-</v>
      </c>
      <c r="F7" s="12" t="str">
        <f aca="false">IF(OR('1. Inputs'!E13=0,'1. Inputs'!E13=""),"-",('1. Inputs'!F13-'1. Inputs'!E13)/ABS('1. Inputs'!E13))</f>
        <v>-</v>
      </c>
      <c r="G7" s="12" t="str">
        <f aca="false">IF(OR('1. Inputs'!F13=0,'1. Inputs'!F13=""),"-",('1. Inputs'!G13-'1. Inputs'!F13)/ABS('1. Inputs'!F13))</f>
        <v>-</v>
      </c>
      <c r="H7" s="12" t="str">
        <f aca="false">IF(OR('1. Inputs'!G13=0,'1. Inputs'!G13=""),"-",('1. Inputs'!H13-'1. Inputs'!G13)/ABS('1. Inputs'!G13))</f>
        <v>-</v>
      </c>
      <c r="I7" s="12" t="str">
        <f aca="false">IF(OR('1. Inputs'!H13=0,'1. Inputs'!H13=""),"-",('1. Inputs'!I13-'1. Inputs'!H13)/ABS('1. Inputs'!H13))</f>
        <v>-</v>
      </c>
      <c r="J7" s="12" t="str">
        <f aca="false">IF(OR('1. Inputs'!I13=0,'1. Inputs'!I13=""),"-",('1. Inputs'!J13-'1. Inputs'!I13)/ABS('1. Inputs'!I13))</f>
        <v>-</v>
      </c>
      <c r="K7" s="12" t="str">
        <f aca="false">IF(OR('1. Inputs'!J13=0,'1. Inputs'!J13=""),"-",('1. Inputs'!K13-'1. Inputs'!J13)/ABS('1. Inputs'!J13))</f>
        <v>-</v>
      </c>
      <c r="L7" s="12" t="str">
        <f aca="false">IF(OR('1. Inputs'!K13=0,'1. Inputs'!K13=""),"-",('1. Inputs'!L13-'1. Inputs'!K13)/ABS('1. Inputs'!K13))</f>
        <v>-</v>
      </c>
    </row>
    <row r="8" customFormat="false" ht="15" hidden="false" customHeight="true" outlineLevel="0" collapsed="false">
      <c r="A8" s="9" t="s">
        <v>176</v>
      </c>
      <c r="B8" s="12" t="str">
        <f aca="false">IF(OR('1. Inputs'!B12=0,'1. Inputs'!B12=""),"-",'1. Inputs'!B13/'1. Inputs'!B12)</f>
        <v>-</v>
      </c>
      <c r="C8" s="12" t="str">
        <f aca="false">IF(OR('1. Inputs'!C12=0,'1. Inputs'!C12=""),"-",'1. Inputs'!C13/'1. Inputs'!C12)</f>
        <v>-</v>
      </c>
      <c r="D8" s="12" t="str">
        <f aca="false">IF(OR('1. Inputs'!D12=0,'1. Inputs'!D12=""),"-",'1. Inputs'!D13/'1. Inputs'!D12)</f>
        <v>-</v>
      </c>
      <c r="E8" s="12" t="str">
        <f aca="false">IF(OR('1. Inputs'!E12=0,'1. Inputs'!E12=""),"-",'1. Inputs'!E13/'1. Inputs'!E12)</f>
        <v>-</v>
      </c>
      <c r="F8" s="12" t="str">
        <f aca="false">IF(OR('1. Inputs'!F12=0,'1. Inputs'!F12=""),"-",'1. Inputs'!F13/'1. Inputs'!F12)</f>
        <v>-</v>
      </c>
      <c r="G8" s="12" t="str">
        <f aca="false">IF(OR('1. Inputs'!G12=0,'1. Inputs'!G12=""),"-",'1. Inputs'!G13/'1. Inputs'!G12)</f>
        <v>-</v>
      </c>
      <c r="H8" s="12" t="str">
        <f aca="false">IF(OR('1. Inputs'!H12=0,'1. Inputs'!H12=""),"-",'1. Inputs'!H13/'1. Inputs'!H12)</f>
        <v>-</v>
      </c>
      <c r="I8" s="12" t="str">
        <f aca="false">IF(OR('1. Inputs'!I12=0,'1. Inputs'!I12=""),"-",'1. Inputs'!I13/'1. Inputs'!I12)</f>
        <v>-</v>
      </c>
      <c r="J8" s="12" t="str">
        <f aca="false">IF(OR('1. Inputs'!J12=0,'1. Inputs'!J12=""),"-",'1. Inputs'!J13/'1. Inputs'!J12)</f>
        <v>-</v>
      </c>
      <c r="K8" s="12" t="str">
        <f aca="false">IF(OR('1. Inputs'!K12=0,'1. Inputs'!K12=""),"-",'1. Inputs'!K13/'1. Inputs'!K12)</f>
        <v>-</v>
      </c>
      <c r="L8" s="12" t="str">
        <f aca="false">IF(OR('1. Inputs'!L12=0,'1. Inputs'!L12=""),"-",'1. Inputs'!L13/'1. Inputs'!L12)</f>
        <v>-</v>
      </c>
    </row>
    <row r="9" customFormat="false" ht="15" hidden="false" customHeight="true" outlineLevel="0" collapsed="false">
      <c r="A9" s="9" t="s">
        <v>177</v>
      </c>
      <c r="B9" s="12" t="s">
        <v>124</v>
      </c>
      <c r="C9" s="12" t="str">
        <f aca="false">IF(OR(('1. Inputs'!C12-'1. Inputs'!B12)=0),"-",('1. Inputs'!C13-'1. Inputs'!B13)/('1. Inputs'!C12-'1. Inputs'!B12))</f>
        <v>-</v>
      </c>
      <c r="D9" s="12" t="str">
        <f aca="false">IF(OR(('1. Inputs'!D12-'1. Inputs'!C12)=0),"-",('1. Inputs'!D13-'1. Inputs'!C13)/('1. Inputs'!D12-'1. Inputs'!C12))</f>
        <v>-</v>
      </c>
      <c r="E9" s="12" t="str">
        <f aca="false">IF(OR(('1. Inputs'!E12-'1. Inputs'!D12)=0),"-",('1. Inputs'!E13-'1. Inputs'!D13)/('1. Inputs'!E12-'1. Inputs'!D12))</f>
        <v>-</v>
      </c>
      <c r="F9" s="12" t="str">
        <f aca="false">IF(OR(('1. Inputs'!F12-'1. Inputs'!E12)=0),"-",('1. Inputs'!F13-'1. Inputs'!E13)/('1. Inputs'!F12-'1. Inputs'!E12))</f>
        <v>-</v>
      </c>
      <c r="G9" s="12" t="str">
        <f aca="false">IF(OR(('1. Inputs'!G12-'1. Inputs'!F12)=0),"-",('1. Inputs'!G13-'1. Inputs'!F13)/('1. Inputs'!G12-'1. Inputs'!F12))</f>
        <v>-</v>
      </c>
      <c r="H9" s="12" t="str">
        <f aca="false">IF(OR(('1. Inputs'!H12-'1. Inputs'!G12)=0),"-",('1. Inputs'!H13-'1. Inputs'!G13)/('1. Inputs'!H12-'1. Inputs'!G12))</f>
        <v>-</v>
      </c>
      <c r="I9" s="12" t="str">
        <f aca="false">IF(OR(('1. Inputs'!I12-'1. Inputs'!H12)=0),"-",('1. Inputs'!I13-'1. Inputs'!H13)/('1. Inputs'!I12-'1. Inputs'!H12))</f>
        <v>-</v>
      </c>
      <c r="J9" s="12" t="str">
        <f aca="false">IF(OR(('1. Inputs'!J12-'1. Inputs'!I12)=0),"-",('1. Inputs'!J13-'1. Inputs'!I13)/('1. Inputs'!J12-'1. Inputs'!I12))</f>
        <v>-</v>
      </c>
      <c r="K9" s="12" t="str">
        <f aca="false">IF(OR(('1. Inputs'!K12-'1. Inputs'!J12)=0),"-",('1. Inputs'!K13-'1. Inputs'!J13)/('1. Inputs'!K12-'1. Inputs'!J12))</f>
        <v>-</v>
      </c>
      <c r="L9" s="12" t="str">
        <f aca="false">IF(OR(('1. Inputs'!L12-'1. Inputs'!K12)=0),"-",('1. Inputs'!L13-'1. Inputs'!K13)/('1. Inputs'!L12-'1. Inputs'!K12))</f>
        <v>-</v>
      </c>
    </row>
    <row r="10" customFormat="false" ht="15" hidden="false" customHeight="true" outlineLevel="0" collapsed="false">
      <c r="A10" s="9" t="s">
        <v>178</v>
      </c>
      <c r="B10" s="14" t="s">
        <v>124</v>
      </c>
      <c r="C10" s="14" t="str">
        <f aca="false">IFERROR(C9/C8,"-")</f>
        <v>-</v>
      </c>
      <c r="D10" s="14" t="str">
        <f aca="false">IFERROR(D9/D8,"-")</f>
        <v>-</v>
      </c>
      <c r="E10" s="14" t="str">
        <f aca="false">IFERROR(E9/E8,"-")</f>
        <v>-</v>
      </c>
      <c r="F10" s="14" t="str">
        <f aca="false">IFERROR(F9/F8,"-")</f>
        <v>-</v>
      </c>
      <c r="G10" s="14" t="str">
        <f aca="false">IFERROR(G9/G8,"-")</f>
        <v>-</v>
      </c>
      <c r="H10" s="14" t="str">
        <f aca="false">IFERROR(H9/H8,"-")</f>
        <v>-</v>
      </c>
      <c r="I10" s="14" t="str">
        <f aca="false">IFERROR(I9/I8,"-")</f>
        <v>-</v>
      </c>
      <c r="J10" s="14" t="str">
        <f aca="false">IFERROR(J9/J8,"-")</f>
        <v>-</v>
      </c>
      <c r="K10" s="14" t="str">
        <f aca="false">IFERROR(K9/K8,"-")</f>
        <v>-</v>
      </c>
      <c r="L10" s="14" t="str">
        <f aca="false">IFERROR(L9/L8,"-")</f>
        <v>-</v>
      </c>
    </row>
    <row r="11" customFormat="false" ht="15" hidden="false" customHeight="true" outlineLevel="0" collapsed="false">
      <c r="A11" s="9" t="s">
        <v>179</v>
      </c>
      <c r="B11" s="12" t="str">
        <f aca="false">IF(OR('1. Inputs'!B12=0,'1. Inputs'!B12=""),"-",ABS('1. Inputs'!B55)/'1. Inputs'!B12)</f>
        <v>-</v>
      </c>
      <c r="C11" s="12" t="str">
        <f aca="false">IF(OR('1. Inputs'!C12=0,'1. Inputs'!C12=""),"-",ABS('1. Inputs'!C55)/'1. Inputs'!C12)</f>
        <v>-</v>
      </c>
      <c r="D11" s="12" t="str">
        <f aca="false">IF(OR('1. Inputs'!D12=0,'1. Inputs'!D12=""),"-",ABS('1. Inputs'!D55)/'1. Inputs'!D12)</f>
        <v>-</v>
      </c>
      <c r="E11" s="12" t="str">
        <f aca="false">IF(OR('1. Inputs'!E12=0,'1. Inputs'!E12=""),"-",ABS('1. Inputs'!E55)/'1. Inputs'!E12)</f>
        <v>-</v>
      </c>
      <c r="F11" s="12" t="str">
        <f aca="false">IF(OR('1. Inputs'!F12=0,'1. Inputs'!F12=""),"-",ABS('1. Inputs'!F55)/'1. Inputs'!F12)</f>
        <v>-</v>
      </c>
      <c r="G11" s="12" t="str">
        <f aca="false">IF(OR('1. Inputs'!G12=0,'1. Inputs'!G12=""),"-",ABS('1. Inputs'!G55)/'1. Inputs'!G12)</f>
        <v>-</v>
      </c>
      <c r="H11" s="12" t="str">
        <f aca="false">IF(OR('1. Inputs'!H12=0,'1. Inputs'!H12=""),"-",ABS('1. Inputs'!H55)/'1. Inputs'!H12)</f>
        <v>-</v>
      </c>
      <c r="I11" s="12" t="str">
        <f aca="false">IF(OR('1. Inputs'!I12=0,'1. Inputs'!I12=""),"-",ABS('1. Inputs'!I55)/'1. Inputs'!I12)</f>
        <v>-</v>
      </c>
      <c r="J11" s="12" t="str">
        <f aca="false">IF(OR('1. Inputs'!J12=0,'1. Inputs'!J12=""),"-",ABS('1. Inputs'!J55)/'1. Inputs'!J12)</f>
        <v>-</v>
      </c>
      <c r="K11" s="12" t="str">
        <f aca="false">IF(OR('1. Inputs'!K12=0,'1. Inputs'!K12=""),"-",ABS('1. Inputs'!K55)/'1. Inputs'!K12)</f>
        <v>-</v>
      </c>
      <c r="L11" s="12" t="str">
        <f aca="false">IF(OR('1. Inputs'!L12=0,'1. Inputs'!L12=""),"-",ABS('1. Inputs'!L55)/'1. Inputs'!L12)</f>
        <v>-</v>
      </c>
    </row>
    <row r="12" customFormat="false" ht="15" hidden="false" customHeight="true" outlineLevel="0" collapsed="false">
      <c r="A12" s="9" t="s">
        <v>180</v>
      </c>
      <c r="B12" s="14" t="str">
        <f aca="false">IF(OR('1. Inputs'!B55=0),"-",'1. Inputs'!B12/ABS('1. Inputs'!B55))</f>
        <v>-</v>
      </c>
      <c r="C12" s="14" t="str">
        <f aca="false">IF(OR('1. Inputs'!C55=0),"-",'1. Inputs'!C12/ABS('1. Inputs'!C55))</f>
        <v>-</v>
      </c>
      <c r="D12" s="14" t="str">
        <f aca="false">IF(OR('1. Inputs'!D55=0),"-",'1. Inputs'!D12/ABS('1. Inputs'!D55))</f>
        <v>-</v>
      </c>
      <c r="E12" s="14" t="str">
        <f aca="false">IF(OR('1. Inputs'!E55=0),"-",'1. Inputs'!E12/ABS('1. Inputs'!E55))</f>
        <v>-</v>
      </c>
      <c r="F12" s="14" t="str">
        <f aca="false">IF(OR('1. Inputs'!F55=0),"-",'1. Inputs'!F12/ABS('1. Inputs'!F55))</f>
        <v>-</v>
      </c>
      <c r="G12" s="14" t="str">
        <f aca="false">IF(OR('1. Inputs'!G55=0),"-",'1. Inputs'!G12/ABS('1. Inputs'!G55))</f>
        <v>-</v>
      </c>
      <c r="H12" s="14" t="str">
        <f aca="false">IF(OR('1. Inputs'!H55=0),"-",'1. Inputs'!H12/ABS('1. Inputs'!H55))</f>
        <v>-</v>
      </c>
      <c r="I12" s="14" t="str">
        <f aca="false">IF(OR('1. Inputs'!I55=0),"-",'1. Inputs'!I12/ABS('1. Inputs'!I55))</f>
        <v>-</v>
      </c>
      <c r="J12" s="14" t="str">
        <f aca="false">IF(OR('1. Inputs'!J55=0),"-",'1. Inputs'!J12/ABS('1. Inputs'!J55))</f>
        <v>-</v>
      </c>
      <c r="K12" s="14" t="str">
        <f aca="false">IF(OR('1. Inputs'!K55=0),"-",'1. Inputs'!K12/ABS('1. Inputs'!K55))</f>
        <v>-</v>
      </c>
      <c r="L12" s="14" t="str">
        <f aca="false">IF(OR('1. Inputs'!L55=0),"-",'1. Inputs'!L12/ABS('1. Inputs'!L55))</f>
        <v>-</v>
      </c>
    </row>
    <row r="13" customFormat="false" ht="15" hidden="false" customHeight="true" outlineLevel="0" collapsed="false">
      <c r="A13" s="9" t="s">
        <v>181</v>
      </c>
      <c r="B13" s="14" t="str">
        <f aca="false">IF(OR('1. Inputs'!B32=0),"-",'1. Inputs'!B12/'1. Inputs'!B32)</f>
        <v>-</v>
      </c>
      <c r="C13" s="14" t="str">
        <f aca="false">IF(OR('1. Inputs'!C32=0),"-",'1. Inputs'!C12/'1. Inputs'!C32)</f>
        <v>-</v>
      </c>
      <c r="D13" s="14" t="str">
        <f aca="false">IF(OR('1. Inputs'!D32=0),"-",'1. Inputs'!D12/'1. Inputs'!D32)</f>
        <v>-</v>
      </c>
      <c r="E13" s="14" t="str">
        <f aca="false">IF(OR('1. Inputs'!E32=0),"-",'1. Inputs'!E12/'1. Inputs'!E32)</f>
        <v>-</v>
      </c>
      <c r="F13" s="14" t="str">
        <f aca="false">IF(OR('1. Inputs'!F32=0),"-",'1. Inputs'!F12/'1. Inputs'!F32)</f>
        <v>-</v>
      </c>
      <c r="G13" s="14" t="str">
        <f aca="false">IF(OR('1. Inputs'!G32=0),"-",'1. Inputs'!G12/'1. Inputs'!G32)</f>
        <v>-</v>
      </c>
      <c r="H13" s="14" t="str">
        <f aca="false">IF(OR('1. Inputs'!H32=0),"-",'1. Inputs'!H12/'1. Inputs'!H32)</f>
        <v>-</v>
      </c>
      <c r="I13" s="14" t="str">
        <f aca="false">IF(OR('1. Inputs'!I32=0),"-",'1. Inputs'!I12/'1. Inputs'!I32)</f>
        <v>-</v>
      </c>
      <c r="J13" s="14" t="str">
        <f aca="false">IF(OR('1. Inputs'!J32=0),"-",'1. Inputs'!J12/'1. Inputs'!J32)</f>
        <v>-</v>
      </c>
      <c r="K13" s="14" t="str">
        <f aca="false">IF(OR('1. Inputs'!K32=0),"-",'1. Inputs'!K12/'1. Inputs'!K32)</f>
        <v>-</v>
      </c>
      <c r="L13" s="14" t="str">
        <f aca="false">IF(OR('1. Inputs'!L32=0),"-",'1. Inputs'!L12/'1. Inputs'!L32)</f>
        <v>-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C00"/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8"/>
    <col collapsed="false" customWidth="true" hidden="false" outlineLevel="0" max="4" min="4" style="1" width="5"/>
    <col collapsed="false" customWidth="true" hidden="false" outlineLevel="0" max="5" min="5" style="1" width="40"/>
  </cols>
  <sheetData>
    <row r="1" customFormat="false" ht="15.75" hidden="false" customHeight="true" outlineLevel="0" collapsed="false">
      <c r="A1" s="10" t="s">
        <v>182</v>
      </c>
      <c r="B1" s="10"/>
      <c r="C1" s="10"/>
      <c r="D1" s="10"/>
    </row>
    <row r="3" customFormat="false" ht="15" hidden="false" customHeight="true" outlineLevel="0" collapsed="false">
      <c r="A3" s="9" t="s">
        <v>183</v>
      </c>
      <c r="B3" s="5"/>
    </row>
    <row r="4" customFormat="false" ht="15" hidden="false" customHeight="true" outlineLevel="0" collapsed="false">
      <c r="A4" s="9" t="s">
        <v>184</v>
      </c>
      <c r="B4" s="5"/>
    </row>
    <row r="5" customFormat="false" ht="15" hidden="false" customHeight="true" outlineLevel="0" collapsed="false">
      <c r="A5" s="9" t="s">
        <v>185</v>
      </c>
      <c r="B5" s="5"/>
    </row>
    <row r="6" customFormat="false" ht="15" hidden="false" customHeight="true" outlineLevel="0" collapsed="false">
      <c r="A6" s="9" t="s">
        <v>186</v>
      </c>
      <c r="B6" s="5"/>
    </row>
    <row r="7" customFormat="false" ht="15" hidden="false" customHeight="true" outlineLevel="0" collapsed="false">
      <c r="A7" s="9" t="s">
        <v>187</v>
      </c>
      <c r="B7" s="15" t="n">
        <f aca="false">B5-ABS(B6)</f>
        <v>0</v>
      </c>
    </row>
    <row r="8" customFormat="false" ht="15" hidden="false" customHeight="true" outlineLevel="0" collapsed="false">
      <c r="A8" s="9" t="s">
        <v>188</v>
      </c>
      <c r="B8" s="5"/>
    </row>
    <row r="9" customFormat="false" ht="15" hidden="false" customHeight="true" outlineLevel="0" collapsed="false">
      <c r="A9" s="9" t="s">
        <v>189</v>
      </c>
      <c r="B9" s="5"/>
    </row>
    <row r="10" customFormat="false" ht="15" hidden="false" customHeight="true" outlineLevel="0" collapsed="false">
      <c r="A10" s="9" t="s">
        <v>190</v>
      </c>
      <c r="B10" s="15" t="n">
        <f aca="false">B9-B8</f>
        <v>0</v>
      </c>
    </row>
    <row r="11" customFormat="false" ht="15" hidden="false" customHeight="true" outlineLevel="0" collapsed="false">
      <c r="A11" s="9" t="s">
        <v>191</v>
      </c>
      <c r="B11" s="15" t="str">
        <f aca="false">IF(B7=0,"-",B10/B7)</f>
        <v>-</v>
      </c>
    </row>
    <row r="13" customFormat="false" ht="15" hidden="false" customHeight="true" outlineLevel="0" collapsed="false">
      <c r="A13" s="2" t="s">
        <v>192</v>
      </c>
    </row>
    <row r="14" customFormat="false" ht="15" hidden="false" customHeight="true" outlineLevel="0" collapsed="false">
      <c r="A14" s="3" t="s">
        <v>193</v>
      </c>
    </row>
    <row r="15" customFormat="false" ht="15" hidden="false" customHeight="true" outlineLevel="0" collapsed="false">
      <c r="A15" s="3" t="s">
        <v>194</v>
      </c>
    </row>
    <row r="16" customFormat="false" ht="15" hidden="false" customHeight="true" outlineLevel="0" collapsed="false">
      <c r="A16" s="3" t="s">
        <v>195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12" min="2" style="1" width="14"/>
  </cols>
  <sheetData>
    <row r="1" customFormat="false" ht="15.75" hidden="false" customHeight="true" outlineLevel="0" collapsed="false">
      <c r="A1" s="10" t="s">
        <v>196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3" customFormat="false" ht="15" hidden="false" customHeight="true" outlineLevel="0" collapsed="false">
      <c r="A3" s="16" t="s">
        <v>197</v>
      </c>
    </row>
    <row r="5" customFormat="false" ht="15" hidden="false" customHeight="true" outlineLevel="0" collapsed="false">
      <c r="A5" s="6" t="s">
        <v>198</v>
      </c>
      <c r="B5" s="6" t="s">
        <v>199</v>
      </c>
      <c r="C5" s="6" t="s">
        <v>200</v>
      </c>
    </row>
    <row r="6" customFormat="false" ht="15" hidden="false" customHeight="true" outlineLevel="0" collapsed="false">
      <c r="A6" s="17" t="s">
        <v>201</v>
      </c>
      <c r="B6" s="11" t="n">
        <f aca="false">'1. Inputs'!B4</f>
        <v>0</v>
      </c>
      <c r="C6" s="18" t="s">
        <v>202</v>
      </c>
    </row>
    <row r="7" customFormat="false" ht="15" hidden="false" customHeight="true" outlineLevel="0" collapsed="false">
      <c r="A7" s="17" t="s">
        <v>203</v>
      </c>
      <c r="B7" s="11" t="n">
        <f aca="false">'1. Inputs'!L19</f>
        <v>0</v>
      </c>
      <c r="C7" s="18" t="s">
        <v>204</v>
      </c>
    </row>
    <row r="8" customFormat="false" ht="15" hidden="false" customHeight="true" outlineLevel="0" collapsed="false">
      <c r="A8" s="17" t="s">
        <v>205</v>
      </c>
      <c r="B8" s="11" t="n">
        <f aca="false">'1. Inputs'!L18</f>
        <v>0</v>
      </c>
      <c r="C8" s="18" t="s">
        <v>206</v>
      </c>
    </row>
    <row r="9" customFormat="false" ht="15" hidden="false" customHeight="true" outlineLevel="0" collapsed="false">
      <c r="A9" s="17" t="s">
        <v>207</v>
      </c>
      <c r="B9" s="11" t="n">
        <f aca="false">'1. Inputs'!L39</f>
        <v>0</v>
      </c>
      <c r="C9" s="18" t="s">
        <v>208</v>
      </c>
    </row>
    <row r="10" customFormat="false" ht="15" hidden="false" customHeight="true" outlineLevel="0" collapsed="false">
      <c r="A10" s="17" t="s">
        <v>209</v>
      </c>
      <c r="B10" s="11" t="n">
        <f aca="false">'1. Inputs'!L54+'1. Inputs'!L55</f>
        <v>0</v>
      </c>
      <c r="C10" s="18" t="s">
        <v>210</v>
      </c>
    </row>
    <row r="11" customFormat="false" ht="15" hidden="false" customHeight="true" outlineLevel="0" collapsed="false">
      <c r="A11" s="17" t="s">
        <v>211</v>
      </c>
      <c r="B11" s="11" t="n">
        <f aca="false">'1. Inputs'!L13</f>
        <v>0</v>
      </c>
      <c r="C11" s="18" t="s">
        <v>212</v>
      </c>
    </row>
    <row r="12" customFormat="false" ht="15" hidden="false" customHeight="true" outlineLevel="0" collapsed="false">
      <c r="A12" s="17" t="s">
        <v>213</v>
      </c>
      <c r="B12" s="11" t="n">
        <f aca="false">'1. Inputs'!B5</f>
        <v>0</v>
      </c>
      <c r="C12" s="18" t="s">
        <v>214</v>
      </c>
    </row>
    <row r="13" customFormat="false" ht="15" hidden="false" customHeight="true" outlineLevel="0" collapsed="false">
      <c r="A13" s="17" t="s">
        <v>215</v>
      </c>
      <c r="B13" s="19" t="str">
        <f aca="false">IF(OR('1. Inputs'!L19=0,'1. Inputs'!L19=""),"-",'1. Inputs'!B4/'1. Inputs'!L19)</f>
        <v>-</v>
      </c>
      <c r="C13" s="18" t="s">
        <v>216</v>
      </c>
    </row>
    <row r="14" customFormat="false" ht="15" hidden="false" customHeight="true" outlineLevel="0" collapsed="false">
      <c r="A14" s="17" t="s">
        <v>217</v>
      </c>
      <c r="B14" s="19" t="str">
        <f aca="false">IF(OR('1. Inputs'!L39=0,'1. Inputs'!L39=""),"-",'1. Inputs'!B4/'1. Inputs'!L39)</f>
        <v>-</v>
      </c>
      <c r="C14" s="18" t="s">
        <v>218</v>
      </c>
    </row>
    <row r="15" customFormat="false" ht="15" hidden="false" customHeight="true" outlineLevel="0" collapsed="false">
      <c r="A15" s="17" t="s">
        <v>219</v>
      </c>
      <c r="B15" s="19" t="str">
        <f aca="false">IF(OR(('1. Inputs'!L54+'1. Inputs'!L55)=0),"-",('1. Inputs'!B4*'1. Inputs'!B5)/('1. Inputs'!L54+'1. Inputs'!L55))</f>
        <v>-</v>
      </c>
      <c r="C15" s="18" t="s">
        <v>220</v>
      </c>
    </row>
    <row r="16" customFormat="false" ht="15" hidden="false" customHeight="true" outlineLevel="0" collapsed="false">
      <c r="A16" s="17" t="s">
        <v>221</v>
      </c>
      <c r="B16" s="19" t="str">
        <f aca="false">IF(OR('1. Inputs'!L13=0,'1. Inputs'!L13=""),"-",('1. Inputs'!B4*'1. Inputs'!B5+'1. Inputs'!L35-'1. Inputs'!L36)/'1. Inputs'!L13)</f>
        <v>-</v>
      </c>
      <c r="C16" s="18" t="s">
        <v>222</v>
      </c>
    </row>
    <row r="17" customFormat="false" ht="15" hidden="false" customHeight="true" outlineLevel="0" collapsed="false">
      <c r="A17" s="17" t="s">
        <v>223</v>
      </c>
      <c r="B17" s="20" t="str">
        <f aca="false">IF(OR('1. Inputs'!B4=0),"-",'1. Inputs'!L19/'1. Inputs'!B4)</f>
        <v>-</v>
      </c>
      <c r="C17" s="18" t="s">
        <v>224</v>
      </c>
    </row>
    <row r="18" customFormat="false" ht="15" hidden="false" customHeight="true" outlineLevel="0" collapsed="false">
      <c r="A18" s="17" t="s">
        <v>225</v>
      </c>
      <c r="B18" s="20" t="str">
        <f aca="false">IF(OR('1. Inputs'!B4=0),"-",('1. Inputs'!L54+'1. Inputs'!L55)/('1. Inputs'!B4*'1. Inputs'!B5))</f>
        <v>-</v>
      </c>
      <c r="C18" s="18" t="s">
        <v>226</v>
      </c>
    </row>
    <row r="19" customFormat="false" ht="15" hidden="false" customHeight="true" outlineLevel="0" collapsed="false">
      <c r="A19" s="17" t="s">
        <v>227</v>
      </c>
      <c r="B19" s="20" t="str">
        <f aca="false">IF(OR('1. Inputs'!B4=0),"-",'1. Inputs'!L20/'1. Inputs'!B4)</f>
        <v>-</v>
      </c>
      <c r="C19" s="18" t="s">
        <v>228</v>
      </c>
    </row>
    <row r="20" customFormat="false" ht="15" hidden="false" customHeight="true" outlineLevel="0" collapsed="false">
      <c r="A20" s="17" t="s">
        <v>229</v>
      </c>
      <c r="B20" s="11" t="n">
        <f aca="false">'1. Inputs'!B4*'1. Inputs'!B5</f>
        <v>0</v>
      </c>
      <c r="C20" s="18" t="s">
        <v>230</v>
      </c>
    </row>
    <row r="21" customFormat="false" ht="15" hidden="false" customHeight="true" outlineLevel="0" collapsed="false">
      <c r="A21" s="17" t="s">
        <v>231</v>
      </c>
      <c r="B21" s="11" t="n">
        <f aca="false">'1. Inputs'!B4*'1. Inputs'!B5+'1. Inputs'!L35-'1. Inputs'!L36</f>
        <v>0</v>
      </c>
      <c r="C21" s="18" t="s">
        <v>232</v>
      </c>
    </row>
    <row r="24" customFormat="false" ht="23.25" hidden="false" customHeight="true" outlineLevel="0" collapsed="false">
      <c r="A24" s="6" t="s">
        <v>233</v>
      </c>
      <c r="B24" s="6"/>
      <c r="C24" s="6"/>
    </row>
    <row r="25" customFormat="false" ht="15" hidden="false" customHeight="true" outlineLevel="0" collapsed="false">
      <c r="A25" s="17" t="s">
        <v>234</v>
      </c>
      <c r="B25" s="21"/>
    </row>
    <row r="26" customFormat="false" ht="15" hidden="false" customHeight="true" outlineLevel="0" collapsed="false">
      <c r="A26" s="17" t="s">
        <v>235</v>
      </c>
      <c r="B26" s="21" t="n">
        <v>11</v>
      </c>
    </row>
    <row r="27" customFormat="false" ht="15" hidden="false" customHeight="true" outlineLevel="0" collapsed="false">
      <c r="A27" s="17" t="s">
        <v>160</v>
      </c>
      <c r="B27" s="21"/>
    </row>
    <row r="28" customFormat="false" ht="15" hidden="false" customHeight="true" outlineLevel="0" collapsed="false">
      <c r="A28" s="17" t="s">
        <v>236</v>
      </c>
      <c r="B28" s="12" t="n">
        <f aca="false">B25/100*B27/100</f>
        <v>0</v>
      </c>
    </row>
    <row r="29" customFormat="false" ht="15" hidden="false" customHeight="true" outlineLevel="0" collapsed="false">
      <c r="A29" s="17" t="s">
        <v>237</v>
      </c>
      <c r="B29" s="14" t="n">
        <f aca="false">IF((B26/100-B28)=0,"-",(B25/100-B28)/(B26/100-B28))</f>
        <v>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M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3" min="2" style="1" width="16"/>
  </cols>
  <sheetData>
    <row r="1" customFormat="false" ht="15.75" hidden="false" customHeight="true" outlineLevel="0" collapsed="false">
      <c r="A1" s="10" t="s">
        <v>238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3" customFormat="false" ht="15" hidden="false" customHeight="true" outlineLevel="0" collapsed="false">
      <c r="A3" s="6" t="s">
        <v>239</v>
      </c>
      <c r="B3" s="6" t="s">
        <v>240</v>
      </c>
      <c r="C3" s="6" t="s">
        <v>241</v>
      </c>
      <c r="D3" s="6" t="s">
        <v>242</v>
      </c>
    </row>
    <row r="4" customFormat="false" ht="15" hidden="false" customHeight="true" outlineLevel="0" collapsed="false">
      <c r="A4" s="9" t="s">
        <v>243</v>
      </c>
      <c r="B4" s="5"/>
      <c r="C4" s="5"/>
      <c r="D4" s="5"/>
    </row>
    <row r="5" customFormat="false" ht="15" hidden="false" customHeight="true" outlineLevel="0" collapsed="false">
      <c r="A5" s="9" t="s">
        <v>244</v>
      </c>
      <c r="B5" s="5" t="n">
        <v>8</v>
      </c>
      <c r="C5" s="5" t="n">
        <v>12</v>
      </c>
      <c r="D5" s="5" t="n">
        <v>18</v>
      </c>
    </row>
    <row r="6" customFormat="false" ht="15" hidden="false" customHeight="true" outlineLevel="0" collapsed="false">
      <c r="A6" s="9" t="s">
        <v>245</v>
      </c>
      <c r="B6" s="5" t="n">
        <v>5</v>
      </c>
      <c r="C6" s="5" t="n">
        <v>8</v>
      </c>
      <c r="D6" s="5" t="n">
        <v>12</v>
      </c>
    </row>
    <row r="7" customFormat="false" ht="15" hidden="false" customHeight="true" outlineLevel="0" collapsed="false">
      <c r="A7" s="9" t="s">
        <v>246</v>
      </c>
      <c r="B7" s="5" t="n">
        <v>4</v>
      </c>
      <c r="C7" s="5" t="n">
        <v>5</v>
      </c>
      <c r="D7" s="5" t="n">
        <v>5</v>
      </c>
    </row>
    <row r="8" customFormat="false" ht="15" hidden="false" customHeight="true" outlineLevel="0" collapsed="false">
      <c r="A8" s="9" t="s">
        <v>247</v>
      </c>
      <c r="B8" s="5" t="n">
        <v>12</v>
      </c>
      <c r="C8" s="5" t="n">
        <v>11</v>
      </c>
      <c r="D8" s="5" t="n">
        <v>10</v>
      </c>
    </row>
    <row r="9" customFormat="false" ht="15" hidden="false" customHeight="true" outlineLevel="0" collapsed="false">
      <c r="A9" s="9" t="s">
        <v>248</v>
      </c>
      <c r="B9" s="5"/>
      <c r="C9" s="5"/>
      <c r="D9" s="5"/>
    </row>
    <row r="10" customFormat="false" ht="15" hidden="false" customHeight="true" outlineLevel="0" collapsed="false">
      <c r="A10" s="9" t="s">
        <v>249</v>
      </c>
      <c r="B10" s="22" t="n">
        <f aca="false">'1. Inputs'!B5</f>
        <v>0</v>
      </c>
      <c r="C10" s="22" t="n">
        <f aca="false">'1. Inputs'!B5</f>
        <v>0</v>
      </c>
      <c r="D10" s="22" t="n">
        <f aca="false">'1. Inputs'!B5</f>
        <v>0</v>
      </c>
    </row>
    <row r="11" customFormat="false" ht="15" hidden="false" customHeight="true" outlineLevel="0" collapsed="false">
      <c r="A11" s="9" t="s">
        <v>250</v>
      </c>
      <c r="B11" s="22" t="n">
        <f aca="false">'1. Inputs'!B4</f>
        <v>0</v>
      </c>
      <c r="C11" s="22" t="n">
        <f aca="false">'1. Inputs'!B4</f>
        <v>0</v>
      </c>
      <c r="D11" s="22" t="n">
        <f aca="false">'1. Inputs'!B4</f>
        <v>0</v>
      </c>
    </row>
    <row r="14" customFormat="false" ht="15" hidden="false" customHeight="true" outlineLevel="0" collapsed="false">
      <c r="A14" s="6" t="s">
        <v>251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customFormat="false" ht="15" hidden="false" customHeight="true" outlineLevel="0" collapsed="false">
      <c r="A15" s="7" t="s">
        <v>252</v>
      </c>
      <c r="B15" s="7" t="s">
        <v>241</v>
      </c>
      <c r="C15" s="7" t="s">
        <v>253</v>
      </c>
      <c r="D15" s="7" t="s">
        <v>254</v>
      </c>
      <c r="E15" s="7" t="s">
        <v>255</v>
      </c>
      <c r="F15" s="7" t="s">
        <v>256</v>
      </c>
      <c r="G15" s="7" t="s">
        <v>257</v>
      </c>
      <c r="H15" s="7" t="s">
        <v>258</v>
      </c>
      <c r="I15" s="7" t="s">
        <v>259</v>
      </c>
      <c r="J15" s="7" t="s">
        <v>260</v>
      </c>
      <c r="K15" s="7" t="s">
        <v>261</v>
      </c>
      <c r="L15" s="7" t="s">
        <v>262</v>
      </c>
      <c r="M15" s="7" t="s">
        <v>263</v>
      </c>
    </row>
    <row r="16" customFormat="false" ht="15" hidden="false" customHeight="true" outlineLevel="0" collapsed="false">
      <c r="A16" s="17" t="s">
        <v>264</v>
      </c>
      <c r="B16" s="23" t="n">
        <f aca="false">B4</f>
        <v>0</v>
      </c>
      <c r="C16" s="11" t="n">
        <f aca="false">B16*(1+$B$5/100)</f>
        <v>0</v>
      </c>
      <c r="D16" s="11" t="n">
        <f aca="false">C16*(1+$B$5/100)</f>
        <v>0</v>
      </c>
      <c r="E16" s="11" t="n">
        <f aca="false">D16*(1+$B$5/100)</f>
        <v>0</v>
      </c>
      <c r="F16" s="11" t="n">
        <f aca="false">E16*(1+$B$5/100)</f>
        <v>0</v>
      </c>
      <c r="G16" s="11" t="n">
        <f aca="false">F16*(1+$B$5/100)</f>
        <v>0</v>
      </c>
      <c r="H16" s="11" t="n">
        <f aca="false">G16*(1+$B$6/100)</f>
        <v>0</v>
      </c>
      <c r="I16" s="11" t="n">
        <f aca="false">H16*(1+$B$6/100)</f>
        <v>0</v>
      </c>
      <c r="J16" s="11" t="n">
        <f aca="false">I16*(1+$B$6/100)</f>
        <v>0</v>
      </c>
      <c r="K16" s="11" t="n">
        <f aca="false">J16*(1+$B$6/100)</f>
        <v>0</v>
      </c>
      <c r="L16" s="11" t="n">
        <f aca="false">K16*(1+$B$6/100)</f>
        <v>0</v>
      </c>
      <c r="M16" s="11" t="n">
        <f aca="false">L16*(1+$B$7/100)/($B$8/100-$B$7/100)</f>
        <v>0</v>
      </c>
    </row>
    <row r="17" customFormat="false" ht="15" hidden="false" customHeight="true" outlineLevel="0" collapsed="false">
      <c r="A17" s="17" t="s">
        <v>265</v>
      </c>
      <c r="B17" s="24" t="n">
        <v>1</v>
      </c>
      <c r="C17" s="25" t="n">
        <f aca="false">1/(1+$B$8/100)^1</f>
        <v>0.892857142857143</v>
      </c>
      <c r="D17" s="25" t="n">
        <f aca="false">1/(1+$B$8/100)^2</f>
        <v>0.79719387755102</v>
      </c>
      <c r="E17" s="25" t="n">
        <f aca="false">1/(1+$B$8/100)^3</f>
        <v>0.711780247813411</v>
      </c>
      <c r="F17" s="25" t="n">
        <f aca="false">1/(1+$B$8/100)^4</f>
        <v>0.635518078404831</v>
      </c>
      <c r="G17" s="25" t="n">
        <f aca="false">1/(1+$B$8/100)^5</f>
        <v>0.567426855718599</v>
      </c>
      <c r="H17" s="25" t="n">
        <f aca="false">1/(1+$B$8/100)^6</f>
        <v>0.506631121177321</v>
      </c>
      <c r="I17" s="25" t="n">
        <f aca="false">1/(1+$B$8/100)^7</f>
        <v>0.452349215336893</v>
      </c>
      <c r="J17" s="25" t="n">
        <f aca="false">1/(1+$B$8/100)^8</f>
        <v>0.403883227979369</v>
      </c>
      <c r="K17" s="25" t="n">
        <f aca="false">1/(1+$B$8/100)^9</f>
        <v>0.360610024981579</v>
      </c>
      <c r="L17" s="25" t="n">
        <f aca="false">1/(1+$B$8/100)^10</f>
        <v>0.321973236590696</v>
      </c>
      <c r="M17" s="25" t="n">
        <f aca="false">1/(1+$B$8/100)^10</f>
        <v>0.321973236590696</v>
      </c>
    </row>
    <row r="18" customFormat="false" ht="15" hidden="false" customHeight="true" outlineLevel="0" collapsed="false">
      <c r="A18" s="17" t="s">
        <v>266</v>
      </c>
      <c r="C18" s="11" t="n">
        <f aca="false">C16*C17</f>
        <v>0</v>
      </c>
      <c r="D18" s="11" t="n">
        <f aca="false">D16*D17</f>
        <v>0</v>
      </c>
      <c r="E18" s="11" t="n">
        <f aca="false">E16*E17</f>
        <v>0</v>
      </c>
      <c r="F18" s="11" t="n">
        <f aca="false">F16*F17</f>
        <v>0</v>
      </c>
      <c r="G18" s="11" t="n">
        <f aca="false">G16*G17</f>
        <v>0</v>
      </c>
      <c r="H18" s="11" t="n">
        <f aca="false">H16*H17</f>
        <v>0</v>
      </c>
      <c r="I18" s="11" t="n">
        <f aca="false">I16*I17</f>
        <v>0</v>
      </c>
      <c r="J18" s="11" t="n">
        <f aca="false">J16*J17</f>
        <v>0</v>
      </c>
      <c r="K18" s="11" t="n">
        <f aca="false">K16*K17</f>
        <v>0</v>
      </c>
      <c r="L18" s="11" t="n">
        <f aca="false">L16*L17</f>
        <v>0</v>
      </c>
      <c r="M18" s="11" t="n">
        <f aca="false">M16*M17</f>
        <v>0</v>
      </c>
    </row>
    <row r="20" customFormat="false" ht="15" hidden="false" customHeight="true" outlineLevel="0" collapsed="false">
      <c r="A20" s="17" t="s">
        <v>267</v>
      </c>
      <c r="B20" s="11" t="n">
        <f aca="false">SUM(C18:L18)</f>
        <v>0</v>
      </c>
    </row>
    <row r="21" customFormat="false" ht="15" hidden="false" customHeight="true" outlineLevel="0" collapsed="false">
      <c r="A21" s="17" t="s">
        <v>268</v>
      </c>
      <c r="B21" s="11" t="n">
        <f aca="false">M18</f>
        <v>0</v>
      </c>
    </row>
    <row r="22" customFormat="false" ht="15" hidden="false" customHeight="true" outlineLevel="0" collapsed="false">
      <c r="A22" s="17" t="s">
        <v>269</v>
      </c>
      <c r="B22" s="11" t="n">
        <f aca="false">B20+B21</f>
        <v>0</v>
      </c>
    </row>
    <row r="23" customFormat="false" ht="15" hidden="false" customHeight="true" outlineLevel="0" collapsed="false">
      <c r="A23" s="17" t="s">
        <v>270</v>
      </c>
      <c r="B23" s="11" t="n">
        <f aca="false">$B$9</f>
        <v>0</v>
      </c>
    </row>
    <row r="24" customFormat="false" ht="15" hidden="false" customHeight="true" outlineLevel="0" collapsed="false">
      <c r="A24" s="17" t="s">
        <v>271</v>
      </c>
      <c r="B24" s="11" t="n">
        <f aca="false">B22-B23</f>
        <v>0</v>
      </c>
    </row>
    <row r="25" customFormat="false" ht="15" hidden="false" customHeight="true" outlineLevel="0" collapsed="false">
      <c r="A25" s="26" t="s">
        <v>272</v>
      </c>
      <c r="B25" s="27" t="str">
        <f aca="false">IF($B$10=0,"-",B24/$B$10)</f>
        <v>-</v>
      </c>
    </row>
    <row r="26" customFormat="false" ht="15" hidden="false" customHeight="true" outlineLevel="0" collapsed="false">
      <c r="A26" s="17" t="s">
        <v>273</v>
      </c>
      <c r="B26" s="12" t="str">
        <f aca="false">IFERROR((B25-$B$11)/B25,"-")</f>
        <v>-</v>
      </c>
    </row>
    <row r="27" customFormat="false" ht="15" hidden="false" customHeight="true" outlineLevel="0" collapsed="false">
      <c r="A27" s="17" t="s">
        <v>274</v>
      </c>
      <c r="B27" s="12" t="str">
        <f aca="false">IF($B$11=0,"-",(B25-$B$11)/$B$11)</f>
        <v>-</v>
      </c>
    </row>
    <row r="32" customFormat="false" ht="15" hidden="false" customHeight="true" outlineLevel="0" collapsed="false">
      <c r="A32" s="6" t="s">
        <v>275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customFormat="false" ht="15" hidden="false" customHeight="true" outlineLevel="0" collapsed="false">
      <c r="A33" s="7" t="s">
        <v>252</v>
      </c>
      <c r="B33" s="7" t="s">
        <v>241</v>
      </c>
      <c r="C33" s="7" t="s">
        <v>253</v>
      </c>
      <c r="D33" s="7" t="s">
        <v>254</v>
      </c>
      <c r="E33" s="7" t="s">
        <v>255</v>
      </c>
      <c r="F33" s="7" t="s">
        <v>256</v>
      </c>
      <c r="G33" s="7" t="s">
        <v>257</v>
      </c>
      <c r="H33" s="7" t="s">
        <v>258</v>
      </c>
      <c r="I33" s="7" t="s">
        <v>259</v>
      </c>
      <c r="J33" s="7" t="s">
        <v>260</v>
      </c>
      <c r="K33" s="7" t="s">
        <v>261</v>
      </c>
      <c r="L33" s="7" t="s">
        <v>262</v>
      </c>
      <c r="M33" s="7" t="s">
        <v>263</v>
      </c>
    </row>
    <row r="34" customFormat="false" ht="15" hidden="false" customHeight="true" outlineLevel="0" collapsed="false">
      <c r="A34" s="17" t="s">
        <v>264</v>
      </c>
      <c r="B34" s="23" t="n">
        <f aca="false">C4</f>
        <v>0</v>
      </c>
      <c r="C34" s="11" t="n">
        <f aca="false">B34*(1+$C$5/100)</f>
        <v>0</v>
      </c>
      <c r="D34" s="11" t="n">
        <f aca="false">C34*(1+$C$5/100)</f>
        <v>0</v>
      </c>
      <c r="E34" s="11" t="n">
        <f aca="false">D34*(1+$C$5/100)</f>
        <v>0</v>
      </c>
      <c r="F34" s="11" t="n">
        <f aca="false">E34*(1+$C$5/100)</f>
        <v>0</v>
      </c>
      <c r="G34" s="11" t="n">
        <f aca="false">F34*(1+$C$5/100)</f>
        <v>0</v>
      </c>
      <c r="H34" s="11" t="n">
        <f aca="false">G34*(1+$C$6/100)</f>
        <v>0</v>
      </c>
      <c r="I34" s="11" t="n">
        <f aca="false">H34*(1+$C$6/100)</f>
        <v>0</v>
      </c>
      <c r="J34" s="11" t="n">
        <f aca="false">I34*(1+$C$6/100)</f>
        <v>0</v>
      </c>
      <c r="K34" s="11" t="n">
        <f aca="false">J34*(1+$C$6/100)</f>
        <v>0</v>
      </c>
      <c r="L34" s="11" t="n">
        <f aca="false">K34*(1+$C$6/100)</f>
        <v>0</v>
      </c>
      <c r="M34" s="11" t="n">
        <f aca="false">L34*(1+$C$7/100)/($C$8/100-$C$7/100)</f>
        <v>0</v>
      </c>
    </row>
    <row r="35" customFormat="false" ht="15" hidden="false" customHeight="true" outlineLevel="0" collapsed="false">
      <c r="A35" s="17" t="s">
        <v>265</v>
      </c>
      <c r="B35" s="24" t="n">
        <v>1</v>
      </c>
      <c r="C35" s="25" t="n">
        <f aca="false">1/(1+$C$8/100)^1</f>
        <v>0.900900900900901</v>
      </c>
      <c r="D35" s="25" t="n">
        <f aca="false">1/(1+$C$8/100)^2</f>
        <v>0.811622433244055</v>
      </c>
      <c r="E35" s="25" t="n">
        <f aca="false">1/(1+$C$8/100)^3</f>
        <v>0.73119138130095</v>
      </c>
      <c r="F35" s="25" t="n">
        <f aca="false">1/(1+$C$8/100)^4</f>
        <v>0.658730974145</v>
      </c>
      <c r="G35" s="25" t="n">
        <f aca="false">1/(1+$C$8/100)^5</f>
        <v>0.593451328058559</v>
      </c>
      <c r="H35" s="25" t="n">
        <f aca="false">1/(1+$C$8/100)^6</f>
        <v>0.534640836088791</v>
      </c>
      <c r="I35" s="25" t="n">
        <f aca="false">1/(1+$C$8/100)^7</f>
        <v>0.481658410890803</v>
      </c>
      <c r="J35" s="25" t="n">
        <f aca="false">1/(1+$C$8/100)^8</f>
        <v>0.433926496298021</v>
      </c>
      <c r="K35" s="25" t="n">
        <f aca="false">1/(1+$C$8/100)^9</f>
        <v>0.390924771439658</v>
      </c>
      <c r="L35" s="25" t="n">
        <f aca="false">1/(1+$C$8/100)^10</f>
        <v>0.352184478774467</v>
      </c>
      <c r="M35" s="25" t="n">
        <f aca="false">1/(1+$C$8/100)^10</f>
        <v>0.352184478774467</v>
      </c>
    </row>
    <row r="36" customFormat="false" ht="15" hidden="false" customHeight="true" outlineLevel="0" collapsed="false">
      <c r="A36" s="17" t="s">
        <v>266</v>
      </c>
      <c r="C36" s="11" t="n">
        <f aca="false">C34*C35</f>
        <v>0</v>
      </c>
      <c r="D36" s="11" t="n">
        <f aca="false">D34*D35</f>
        <v>0</v>
      </c>
      <c r="E36" s="11" t="n">
        <f aca="false">E34*E35</f>
        <v>0</v>
      </c>
      <c r="F36" s="11" t="n">
        <f aca="false">F34*F35</f>
        <v>0</v>
      </c>
      <c r="G36" s="11" t="n">
        <f aca="false">G34*G35</f>
        <v>0</v>
      </c>
      <c r="H36" s="11" t="n">
        <f aca="false">H34*H35</f>
        <v>0</v>
      </c>
      <c r="I36" s="11" t="n">
        <f aca="false">I34*I35</f>
        <v>0</v>
      </c>
      <c r="J36" s="11" t="n">
        <f aca="false">J34*J35</f>
        <v>0</v>
      </c>
      <c r="K36" s="11" t="n">
        <f aca="false">K34*K35</f>
        <v>0</v>
      </c>
      <c r="L36" s="11" t="n">
        <f aca="false">L34*L35</f>
        <v>0</v>
      </c>
      <c r="M36" s="11" t="n">
        <f aca="false">M34*M35</f>
        <v>0</v>
      </c>
    </row>
    <row r="38" customFormat="false" ht="15" hidden="false" customHeight="true" outlineLevel="0" collapsed="false">
      <c r="A38" s="17" t="s">
        <v>267</v>
      </c>
      <c r="B38" s="11" t="n">
        <f aca="false">SUM(C36:L36)</f>
        <v>0</v>
      </c>
    </row>
    <row r="39" customFormat="false" ht="15" hidden="false" customHeight="true" outlineLevel="0" collapsed="false">
      <c r="A39" s="17" t="s">
        <v>268</v>
      </c>
      <c r="B39" s="11" t="n">
        <f aca="false">M36</f>
        <v>0</v>
      </c>
    </row>
    <row r="40" customFormat="false" ht="15" hidden="false" customHeight="true" outlineLevel="0" collapsed="false">
      <c r="A40" s="17" t="s">
        <v>269</v>
      </c>
      <c r="B40" s="11" t="n">
        <f aca="false">B38+B39</f>
        <v>0</v>
      </c>
    </row>
    <row r="41" customFormat="false" ht="15" hidden="false" customHeight="true" outlineLevel="0" collapsed="false">
      <c r="A41" s="17" t="s">
        <v>270</v>
      </c>
      <c r="B41" s="11" t="n">
        <f aca="false">$C$9</f>
        <v>0</v>
      </c>
    </row>
    <row r="42" customFormat="false" ht="15" hidden="false" customHeight="true" outlineLevel="0" collapsed="false">
      <c r="A42" s="17" t="s">
        <v>271</v>
      </c>
      <c r="B42" s="11" t="n">
        <f aca="false">B40-B41</f>
        <v>0</v>
      </c>
    </row>
    <row r="43" customFormat="false" ht="15" hidden="false" customHeight="true" outlineLevel="0" collapsed="false">
      <c r="A43" s="26" t="s">
        <v>272</v>
      </c>
      <c r="B43" s="27" t="str">
        <f aca="false">IF($C$10=0,"-",B42/$C$10)</f>
        <v>-</v>
      </c>
    </row>
    <row r="44" customFormat="false" ht="15" hidden="false" customHeight="true" outlineLevel="0" collapsed="false">
      <c r="A44" s="17" t="s">
        <v>273</v>
      </c>
      <c r="B44" s="12" t="str">
        <f aca="false">IFERROR((B43-$C$11)/B43,"-")</f>
        <v>-</v>
      </c>
    </row>
    <row r="45" customFormat="false" ht="15" hidden="false" customHeight="true" outlineLevel="0" collapsed="false">
      <c r="A45" s="17" t="s">
        <v>274</v>
      </c>
      <c r="B45" s="12" t="str">
        <f aca="false">IF($C$11=0,"-",(B43-$C$11)/$C$11)</f>
        <v>-</v>
      </c>
    </row>
    <row r="50" customFormat="false" ht="15" hidden="false" customHeight="true" outlineLevel="0" collapsed="false">
      <c r="A50" s="6" t="s">
        <v>276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customFormat="false" ht="15" hidden="false" customHeight="true" outlineLevel="0" collapsed="false">
      <c r="A51" s="7" t="s">
        <v>252</v>
      </c>
      <c r="B51" s="7" t="s">
        <v>241</v>
      </c>
      <c r="C51" s="7" t="s">
        <v>253</v>
      </c>
      <c r="D51" s="7" t="s">
        <v>254</v>
      </c>
      <c r="E51" s="7" t="s">
        <v>255</v>
      </c>
      <c r="F51" s="7" t="s">
        <v>256</v>
      </c>
      <c r="G51" s="7" t="s">
        <v>257</v>
      </c>
      <c r="H51" s="7" t="s">
        <v>258</v>
      </c>
      <c r="I51" s="7" t="s">
        <v>259</v>
      </c>
      <c r="J51" s="7" t="s">
        <v>260</v>
      </c>
      <c r="K51" s="7" t="s">
        <v>261</v>
      </c>
      <c r="L51" s="7" t="s">
        <v>262</v>
      </c>
      <c r="M51" s="7" t="s">
        <v>263</v>
      </c>
    </row>
    <row r="52" customFormat="false" ht="15" hidden="false" customHeight="true" outlineLevel="0" collapsed="false">
      <c r="A52" s="17" t="s">
        <v>264</v>
      </c>
      <c r="B52" s="23" t="n">
        <f aca="false">D4</f>
        <v>0</v>
      </c>
      <c r="C52" s="11" t="n">
        <f aca="false">B52*(1+$D$5/100)</f>
        <v>0</v>
      </c>
      <c r="D52" s="11" t="n">
        <f aca="false">C52*(1+$D$5/100)</f>
        <v>0</v>
      </c>
      <c r="E52" s="11" t="n">
        <f aca="false">D52*(1+$D$5/100)</f>
        <v>0</v>
      </c>
      <c r="F52" s="11" t="n">
        <f aca="false">E52*(1+$D$5/100)</f>
        <v>0</v>
      </c>
      <c r="G52" s="11" t="n">
        <f aca="false">F52*(1+$D$5/100)</f>
        <v>0</v>
      </c>
      <c r="H52" s="11" t="n">
        <f aca="false">G52*(1+$D$6/100)</f>
        <v>0</v>
      </c>
      <c r="I52" s="11" t="n">
        <f aca="false">H52*(1+$D$6/100)</f>
        <v>0</v>
      </c>
      <c r="J52" s="11" t="n">
        <f aca="false">I52*(1+$D$6/100)</f>
        <v>0</v>
      </c>
      <c r="K52" s="11" t="n">
        <f aca="false">J52*(1+$D$6/100)</f>
        <v>0</v>
      </c>
      <c r="L52" s="11" t="n">
        <f aca="false">K52*(1+$D$6/100)</f>
        <v>0</v>
      </c>
      <c r="M52" s="11" t="n">
        <f aca="false">L52*(1+$D$7/100)/($D$8/100-$D$7/100)</f>
        <v>0</v>
      </c>
    </row>
    <row r="53" customFormat="false" ht="15" hidden="false" customHeight="true" outlineLevel="0" collapsed="false">
      <c r="A53" s="17" t="s">
        <v>265</v>
      </c>
      <c r="B53" s="24" t="n">
        <v>1</v>
      </c>
      <c r="C53" s="25" t="n">
        <f aca="false">1/(1+$D$8/100)^1</f>
        <v>0.909090909090909</v>
      </c>
      <c r="D53" s="25" t="n">
        <f aca="false">1/(1+$D$8/100)^2</f>
        <v>0.826446280991735</v>
      </c>
      <c r="E53" s="25" t="n">
        <f aca="false">1/(1+$D$8/100)^3</f>
        <v>0.751314800901578</v>
      </c>
      <c r="F53" s="25" t="n">
        <f aca="false">1/(1+$D$8/100)^4</f>
        <v>0.683013455365071</v>
      </c>
      <c r="G53" s="25" t="n">
        <f aca="false">1/(1+$D$8/100)^5</f>
        <v>0.620921323059155</v>
      </c>
      <c r="H53" s="25" t="n">
        <f aca="false">1/(1+$D$8/100)^6</f>
        <v>0.564473930053777</v>
      </c>
      <c r="I53" s="25" t="n">
        <f aca="false">1/(1+$D$8/100)^7</f>
        <v>0.513158118230707</v>
      </c>
      <c r="J53" s="25" t="n">
        <f aca="false">1/(1+$D$8/100)^8</f>
        <v>0.466507380209733</v>
      </c>
      <c r="K53" s="25" t="n">
        <f aca="false">1/(1+$D$8/100)^9</f>
        <v>0.424097618372485</v>
      </c>
      <c r="L53" s="25" t="n">
        <f aca="false">1/(1+$D$8/100)^10</f>
        <v>0.385543289429531</v>
      </c>
      <c r="M53" s="25" t="n">
        <f aca="false">1/(1+$D$8/100)^10</f>
        <v>0.385543289429531</v>
      </c>
    </row>
    <row r="54" customFormat="false" ht="15" hidden="false" customHeight="true" outlineLevel="0" collapsed="false">
      <c r="A54" s="17" t="s">
        <v>266</v>
      </c>
      <c r="C54" s="11" t="n">
        <f aca="false">C52*C53</f>
        <v>0</v>
      </c>
      <c r="D54" s="11" t="n">
        <f aca="false">D52*D53</f>
        <v>0</v>
      </c>
      <c r="E54" s="11" t="n">
        <f aca="false">E52*E53</f>
        <v>0</v>
      </c>
      <c r="F54" s="11" t="n">
        <f aca="false">F52*F53</f>
        <v>0</v>
      </c>
      <c r="G54" s="11" t="n">
        <f aca="false">G52*G53</f>
        <v>0</v>
      </c>
      <c r="H54" s="11" t="n">
        <f aca="false">H52*H53</f>
        <v>0</v>
      </c>
      <c r="I54" s="11" t="n">
        <f aca="false">I52*I53</f>
        <v>0</v>
      </c>
      <c r="J54" s="11" t="n">
        <f aca="false">J52*J53</f>
        <v>0</v>
      </c>
      <c r="K54" s="11" t="n">
        <f aca="false">K52*K53</f>
        <v>0</v>
      </c>
      <c r="L54" s="11" t="n">
        <f aca="false">L52*L53</f>
        <v>0</v>
      </c>
      <c r="M54" s="11" t="n">
        <f aca="false">M52*M53</f>
        <v>0</v>
      </c>
    </row>
    <row r="56" customFormat="false" ht="15" hidden="false" customHeight="true" outlineLevel="0" collapsed="false">
      <c r="A56" s="17" t="s">
        <v>267</v>
      </c>
      <c r="B56" s="11" t="n">
        <f aca="false">SUM(C54:L54)</f>
        <v>0</v>
      </c>
    </row>
    <row r="57" customFormat="false" ht="15" hidden="false" customHeight="true" outlineLevel="0" collapsed="false">
      <c r="A57" s="17" t="s">
        <v>268</v>
      </c>
      <c r="B57" s="11" t="n">
        <f aca="false">M54</f>
        <v>0</v>
      </c>
    </row>
    <row r="58" customFormat="false" ht="15" hidden="false" customHeight="true" outlineLevel="0" collapsed="false">
      <c r="A58" s="17" t="s">
        <v>269</v>
      </c>
      <c r="B58" s="11" t="n">
        <f aca="false">B56+B57</f>
        <v>0</v>
      </c>
    </row>
    <row r="59" customFormat="false" ht="15" hidden="false" customHeight="true" outlineLevel="0" collapsed="false">
      <c r="A59" s="17" t="s">
        <v>270</v>
      </c>
      <c r="B59" s="11" t="n">
        <f aca="false">$D$9</f>
        <v>0</v>
      </c>
    </row>
    <row r="60" customFormat="false" ht="15" hidden="false" customHeight="true" outlineLevel="0" collapsed="false">
      <c r="A60" s="17" t="s">
        <v>271</v>
      </c>
      <c r="B60" s="11" t="n">
        <f aca="false">B58-B59</f>
        <v>0</v>
      </c>
    </row>
    <row r="61" customFormat="false" ht="15" hidden="false" customHeight="true" outlineLevel="0" collapsed="false">
      <c r="A61" s="26" t="s">
        <v>272</v>
      </c>
      <c r="B61" s="27" t="str">
        <f aca="false">IF($D$10=0,"-",B60/$D$10)</f>
        <v>-</v>
      </c>
    </row>
    <row r="62" customFormat="false" ht="15" hidden="false" customHeight="true" outlineLevel="0" collapsed="false">
      <c r="A62" s="17" t="s">
        <v>273</v>
      </c>
      <c r="B62" s="12" t="str">
        <f aca="false">IFERROR((B61-$D$11)/B61,"-")</f>
        <v>-</v>
      </c>
    </row>
    <row r="63" customFormat="false" ht="15" hidden="false" customHeight="true" outlineLevel="0" collapsed="false">
      <c r="A63" s="17" t="s">
        <v>274</v>
      </c>
      <c r="B63" s="12" t="str">
        <f aca="false">IF($D$11=0,"-",(B61-$D$11)/$D$11)</f>
        <v>-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E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5" min="2" style="1" width="18"/>
  </cols>
  <sheetData>
    <row r="1" customFormat="false" ht="15.75" hidden="false" customHeight="true" outlineLevel="0" collapsed="false">
      <c r="A1" s="10" t="s">
        <v>277</v>
      </c>
      <c r="B1" s="10"/>
      <c r="C1" s="10"/>
      <c r="D1" s="10"/>
    </row>
    <row r="3" customFormat="false" ht="15" hidden="false" customHeight="true" outlineLevel="0" collapsed="false">
      <c r="A3" s="6" t="s">
        <v>278</v>
      </c>
      <c r="B3" s="6"/>
    </row>
    <row r="4" customFormat="false" ht="15" hidden="false" customHeight="true" outlineLevel="0" collapsed="false">
      <c r="A4" s="17" t="s">
        <v>201</v>
      </c>
      <c r="B4" s="28" t="n">
        <f aca="false">'1. Inputs'!B4</f>
        <v>0</v>
      </c>
    </row>
    <row r="5" customFormat="false" ht="15" hidden="false" customHeight="true" outlineLevel="0" collapsed="false">
      <c r="A5" s="17" t="s">
        <v>279</v>
      </c>
      <c r="B5" s="28" t="n">
        <f aca="false">'1. Inputs'!L19</f>
        <v>0</v>
      </c>
    </row>
    <row r="6" customFormat="false" ht="15" hidden="false" customHeight="true" outlineLevel="0" collapsed="false">
      <c r="A6" s="17" t="s">
        <v>280</v>
      </c>
      <c r="B6" s="28" t="str">
        <f aca="false">IF(OR('1. Inputs'!L19=0,'1. Inputs'!L19=""),"-",'1. Inputs'!B4/'1. Inputs'!L19)</f>
        <v>-</v>
      </c>
    </row>
    <row r="8" customFormat="false" ht="15" hidden="false" customHeight="true" outlineLevel="0" collapsed="false">
      <c r="A8" s="6" t="s">
        <v>281</v>
      </c>
      <c r="B8" s="6" t="s">
        <v>282</v>
      </c>
      <c r="C8" s="6" t="s">
        <v>283</v>
      </c>
      <c r="D8" s="6" t="s">
        <v>284</v>
      </c>
      <c r="E8" s="6" t="s">
        <v>285</v>
      </c>
    </row>
    <row r="9" customFormat="false" ht="15" hidden="false" customHeight="true" outlineLevel="0" collapsed="false">
      <c r="A9" s="17" t="s">
        <v>286</v>
      </c>
      <c r="B9" s="29" t="n">
        <v>15</v>
      </c>
      <c r="C9" s="29" t="n">
        <v>20</v>
      </c>
      <c r="D9" s="29" t="n">
        <v>28</v>
      </c>
      <c r="E9" s="29" t="n">
        <f aca="false">'1. Inputs'!B63</f>
        <v>0</v>
      </c>
    </row>
    <row r="11" customFormat="false" ht="15" hidden="false" customHeight="true" outlineLevel="0" collapsed="false">
      <c r="A11" s="6" t="s">
        <v>287</v>
      </c>
      <c r="B11" s="6" t="s">
        <v>288</v>
      </c>
      <c r="C11" s="6" t="s">
        <v>289</v>
      </c>
      <c r="D11" s="6" t="s">
        <v>290</v>
      </c>
    </row>
    <row r="12" customFormat="false" ht="15" hidden="false" customHeight="true" outlineLevel="0" collapsed="false">
      <c r="A12" s="17" t="s">
        <v>291</v>
      </c>
      <c r="B12" s="12" t="str">
        <f aca="false">IFERROR((($B4*(1+10/100)^5/B9)/$B5)^(1/5)-1,"-")</f>
        <v>-</v>
      </c>
      <c r="C12" s="12" t="str">
        <f aca="false">IFERROR((($B4*(1+15/100)^5/B9)/$B5)^(1/5)-1,"-")</f>
        <v>-</v>
      </c>
      <c r="D12" s="12" t="str">
        <f aca="false">IFERROR((($B4*(1+20/100)^5/B9)/$B5)^(1/5)-1,"-")</f>
        <v>-</v>
      </c>
    </row>
    <row r="13" customFormat="false" ht="15" hidden="false" customHeight="true" outlineLevel="0" collapsed="false">
      <c r="A13" s="17" t="s">
        <v>292</v>
      </c>
      <c r="B13" s="12" t="str">
        <f aca="false">IFERROR((($B4*(1+10/100)^10/B9)/$B5)^(1/10)-1,"-")</f>
        <v>-</v>
      </c>
      <c r="C13" s="12" t="str">
        <f aca="false">IFERROR((($B4*(1+15/100)^10/B9)/$B5)^(1/10)-1,"-")</f>
        <v>-</v>
      </c>
      <c r="D13" s="12" t="str">
        <f aca="false">IFERROR((($B4*(1+20/100)^10/B9)/$B5)^(1/10)-1,"-")</f>
        <v>-</v>
      </c>
    </row>
    <row r="14" customFormat="false" ht="15" hidden="false" customHeight="true" outlineLevel="0" collapsed="false">
      <c r="A14" s="17" t="s">
        <v>293</v>
      </c>
      <c r="B14" s="12" t="str">
        <f aca="false">IFERROR((($B4*(1+10/100)^15/B9)/$B5)^(1/15)-1,"-")</f>
        <v>-</v>
      </c>
      <c r="C14" s="12" t="str">
        <f aca="false">IFERROR((($B4*(1+15/100)^15/B9)/$B5)^(1/15)-1,"-")</f>
        <v>-</v>
      </c>
      <c r="D14" s="12" t="str">
        <f aca="false">IFERROR((($B4*(1+20/100)^15/B9)/$B5)^(1/15)-1,"-")</f>
        <v>-</v>
      </c>
    </row>
    <row r="18" customFormat="false" ht="15" hidden="false" customHeight="true" outlineLevel="0" collapsed="false">
      <c r="A18" s="6" t="s">
        <v>294</v>
      </c>
      <c r="B18" s="6" t="s">
        <v>288</v>
      </c>
      <c r="C18" s="6" t="s">
        <v>289</v>
      </c>
      <c r="D18" s="6" t="s">
        <v>290</v>
      </c>
    </row>
    <row r="19" customFormat="false" ht="15" hidden="false" customHeight="true" outlineLevel="0" collapsed="false">
      <c r="A19" s="17" t="s">
        <v>291</v>
      </c>
      <c r="B19" s="12" t="str">
        <f aca="false">IFERROR((($B4*(1+10/100)^5/C9)/$B5)^(1/5)-1,"-")</f>
        <v>-</v>
      </c>
      <c r="C19" s="12" t="str">
        <f aca="false">IFERROR((($B4*(1+15/100)^5/C9)/$B5)^(1/5)-1,"-")</f>
        <v>-</v>
      </c>
      <c r="D19" s="12" t="str">
        <f aca="false">IFERROR((($B4*(1+20/100)^5/C9)/$B5)^(1/5)-1,"-")</f>
        <v>-</v>
      </c>
    </row>
    <row r="20" customFormat="false" ht="15" hidden="false" customHeight="true" outlineLevel="0" collapsed="false">
      <c r="A20" s="17" t="s">
        <v>292</v>
      </c>
      <c r="B20" s="12" t="str">
        <f aca="false">IFERROR((($B4*(1+10/100)^10/C9)/$B5)^(1/10)-1,"-")</f>
        <v>-</v>
      </c>
      <c r="C20" s="12" t="str">
        <f aca="false">IFERROR((($B4*(1+15/100)^10/C9)/$B5)^(1/10)-1,"-")</f>
        <v>-</v>
      </c>
      <c r="D20" s="12" t="str">
        <f aca="false">IFERROR((($B4*(1+20/100)^10/C9)/$B5)^(1/10)-1,"-")</f>
        <v>-</v>
      </c>
    </row>
    <row r="21" customFormat="false" ht="15" hidden="false" customHeight="true" outlineLevel="0" collapsed="false">
      <c r="A21" s="17" t="s">
        <v>293</v>
      </c>
      <c r="B21" s="12" t="str">
        <f aca="false">IFERROR((($B4*(1+10/100)^15/C9)/$B5)^(1/15)-1,"-")</f>
        <v>-</v>
      </c>
      <c r="C21" s="12" t="str">
        <f aca="false">IFERROR((($B4*(1+15/100)^15/C9)/$B5)^(1/15)-1,"-")</f>
        <v>-</v>
      </c>
      <c r="D21" s="12" t="str">
        <f aca="false">IFERROR((($B4*(1+20/100)^15/C9)/$B5)^(1/15)-1,"-")</f>
        <v>-</v>
      </c>
    </row>
    <row r="25" customFormat="false" ht="15" hidden="false" customHeight="true" outlineLevel="0" collapsed="false">
      <c r="A25" s="6" t="s">
        <v>295</v>
      </c>
      <c r="B25" s="6" t="s">
        <v>288</v>
      </c>
      <c r="C25" s="6" t="s">
        <v>289</v>
      </c>
      <c r="D25" s="6" t="s">
        <v>290</v>
      </c>
    </row>
    <row r="26" customFormat="false" ht="15" hidden="false" customHeight="true" outlineLevel="0" collapsed="false">
      <c r="A26" s="17" t="s">
        <v>291</v>
      </c>
      <c r="B26" s="12" t="str">
        <f aca="false">IFERROR((($B4*(1+10/100)^5/D9)/$B5)^(1/5)-1,"-")</f>
        <v>-</v>
      </c>
      <c r="C26" s="12" t="str">
        <f aca="false">IFERROR((($B4*(1+15/100)^5/D9)/$B5)^(1/5)-1,"-")</f>
        <v>-</v>
      </c>
      <c r="D26" s="12" t="str">
        <f aca="false">IFERROR((($B4*(1+20/100)^5/D9)/$B5)^(1/5)-1,"-")</f>
        <v>-</v>
      </c>
    </row>
    <row r="27" customFormat="false" ht="15" hidden="false" customHeight="true" outlineLevel="0" collapsed="false">
      <c r="A27" s="17" t="s">
        <v>292</v>
      </c>
      <c r="B27" s="12" t="str">
        <f aca="false">IFERROR((($B4*(1+10/100)^10/D9)/$B5)^(1/10)-1,"-")</f>
        <v>-</v>
      </c>
      <c r="C27" s="12" t="str">
        <f aca="false">IFERROR((($B4*(1+15/100)^10/D9)/$B5)^(1/10)-1,"-")</f>
        <v>-</v>
      </c>
      <c r="D27" s="12" t="str">
        <f aca="false">IFERROR((($B4*(1+20/100)^10/D9)/$B5)^(1/10)-1,"-")</f>
        <v>-</v>
      </c>
    </row>
    <row r="28" customFormat="false" ht="15" hidden="false" customHeight="true" outlineLevel="0" collapsed="false">
      <c r="A28" s="17" t="s">
        <v>293</v>
      </c>
      <c r="B28" s="12" t="str">
        <f aca="false">IFERROR((($B4*(1+10/100)^15/D9)/$B5)^(1/15)-1,"-")</f>
        <v>-</v>
      </c>
      <c r="C28" s="12" t="str">
        <f aca="false">IFERROR((($B4*(1+15/100)^15/D9)/$B5)^(1/15)-1,"-")</f>
        <v>-</v>
      </c>
      <c r="D28" s="12" t="str">
        <f aca="false">IFERROR((($B4*(1+20/100)^15/D9)/$B5)^(1/15)-1,"-")</f>
        <v>-</v>
      </c>
    </row>
    <row r="32" customFormat="false" ht="15" hidden="false" customHeight="true" outlineLevel="0" collapsed="false">
      <c r="A32" s="6" t="s">
        <v>296</v>
      </c>
      <c r="B32" s="6" t="s">
        <v>288</v>
      </c>
      <c r="C32" s="6" t="s">
        <v>289</v>
      </c>
      <c r="D32" s="6" t="s">
        <v>290</v>
      </c>
    </row>
    <row r="33" customFormat="false" ht="15" hidden="false" customHeight="true" outlineLevel="0" collapsed="false">
      <c r="A33" s="17" t="s">
        <v>291</v>
      </c>
      <c r="B33" s="12" t="str">
        <f aca="false">IFERROR((($B4*(1+10/100)^5/E9)/$B5)^(1/5)-1,"-")</f>
        <v>-</v>
      </c>
      <c r="C33" s="12" t="str">
        <f aca="false">IFERROR((($B4*(1+15/100)^5/E9)/$B5)^(1/5)-1,"-")</f>
        <v>-</v>
      </c>
      <c r="D33" s="12" t="str">
        <f aca="false">IFERROR((($B4*(1+20/100)^5/E9)/$B5)^(1/5)-1,"-")</f>
        <v>-</v>
      </c>
    </row>
    <row r="34" customFormat="false" ht="15" hidden="false" customHeight="true" outlineLevel="0" collapsed="false">
      <c r="A34" s="17" t="s">
        <v>292</v>
      </c>
      <c r="B34" s="12" t="str">
        <f aca="false">IFERROR((($B4*(1+10/100)^10/E9)/$B5)^(1/10)-1,"-")</f>
        <v>-</v>
      </c>
      <c r="C34" s="12" t="str">
        <f aca="false">IFERROR((($B4*(1+15/100)^10/E9)/$B5)^(1/10)-1,"-")</f>
        <v>-</v>
      </c>
      <c r="D34" s="12" t="str">
        <f aca="false">IFERROR((($B4*(1+20/100)^10/E9)/$B5)^(1/10)-1,"-")</f>
        <v>-</v>
      </c>
    </row>
    <row r="35" customFormat="false" ht="15" hidden="false" customHeight="true" outlineLevel="0" collapsed="false">
      <c r="A35" s="17" t="s">
        <v>293</v>
      </c>
      <c r="B35" s="12" t="str">
        <f aca="false">IFERROR((($B4*(1+10/100)^15/E9)/$B5)^(1/15)-1,"-")</f>
        <v>-</v>
      </c>
      <c r="C35" s="12" t="str">
        <f aca="false">IFERROR((($B4*(1+15/100)^15/E9)/$B5)^(1/15)-1,"-")</f>
        <v>-</v>
      </c>
      <c r="D35" s="12" t="str">
        <f aca="false">IFERROR((($B4*(1+20/100)^15/E9)/$B5)^(1/15)-1,"-")</f>
        <v>-</v>
      </c>
    </row>
    <row r="41" customFormat="false" ht="15" hidden="false" customHeight="true" outlineLevel="0" collapsed="false">
      <c r="A41" s="6" t="s">
        <v>297</v>
      </c>
      <c r="B41" s="6"/>
    </row>
    <row r="42" customFormat="false" ht="15" hidden="false" customHeight="true" outlineLevel="0" collapsed="false">
      <c r="A42" s="17" t="s">
        <v>298</v>
      </c>
      <c r="B42" s="30" t="n">
        <f aca="false">'1. Inputs'!B72</f>
        <v>11</v>
      </c>
    </row>
    <row r="43" customFormat="false" ht="15" hidden="false" customHeight="true" outlineLevel="0" collapsed="false">
      <c r="A43" s="17" t="s">
        <v>112</v>
      </c>
      <c r="B43" s="30" t="n">
        <f aca="false">'1. Inputs'!B73</f>
        <v>0</v>
      </c>
    </row>
    <row r="44" customFormat="false" ht="15" hidden="false" customHeight="true" outlineLevel="0" collapsed="false">
      <c r="A44" s="17" t="s">
        <v>113</v>
      </c>
      <c r="B44" s="30" t="n">
        <f aca="false">'1. Inputs'!B74</f>
        <v>0</v>
      </c>
    </row>
    <row r="45" customFormat="false" ht="15" hidden="false" customHeight="true" outlineLevel="0" collapsed="false">
      <c r="A45" s="17" t="s">
        <v>299</v>
      </c>
      <c r="B45" s="30" t="n">
        <f aca="false">'1. Inputs'!B75</f>
        <v>0</v>
      </c>
    </row>
    <row r="46" customFormat="false" ht="15" hidden="false" customHeight="true" outlineLevel="0" collapsed="false">
      <c r="A46" s="17" t="s">
        <v>300</v>
      </c>
      <c r="B46" s="30" t="n">
        <f aca="false">'1. Inputs'!B76</f>
        <v>0</v>
      </c>
    </row>
    <row r="49" customFormat="false" ht="15" hidden="false" customHeight="true" outlineLevel="0" collapsed="false">
      <c r="A49" s="31" t="s">
        <v>301</v>
      </c>
    </row>
    <row r="50" customFormat="false" ht="15" hidden="false" customHeight="true" outlineLevel="0" collapsed="false">
      <c r="A50" s="2" t="s">
        <v>302</v>
      </c>
    </row>
    <row r="51" customFormat="false" ht="15" hidden="false" customHeight="true" outlineLevel="0" collapsed="false">
      <c r="A51" s="31" t="s">
        <v>278</v>
      </c>
    </row>
    <row r="52" customFormat="false" ht="15" hidden="false" customHeight="true" outlineLevel="0" collapsed="false">
      <c r="A52" s="1" t="s">
        <v>303</v>
      </c>
      <c r="B52" s="1" t="str">
        <f aca="false">'16. Owner Earnings'!L11</f>
        <v>-</v>
      </c>
    </row>
    <row r="53" customFormat="false" ht="15" hidden="false" customHeight="true" outlineLevel="0" collapsed="false">
      <c r="A53" s="1" t="s">
        <v>304</v>
      </c>
      <c r="B53" s="32" t="str">
        <f aca="false">IF(OR(B52="-",B52=0),"-",$B$4/B52)</f>
        <v>-</v>
      </c>
    </row>
    <row r="55" customFormat="false" ht="15" hidden="false" customHeight="true" outlineLevel="0" collapsed="false">
      <c r="A55" s="31" t="s">
        <v>305</v>
      </c>
      <c r="B55" s="33" t="s">
        <v>306</v>
      </c>
      <c r="C55" s="33" t="s">
        <v>307</v>
      </c>
      <c r="D55" s="33" t="s">
        <v>308</v>
      </c>
    </row>
    <row r="56" customFormat="false" ht="15" hidden="false" customHeight="true" outlineLevel="0" collapsed="false">
      <c r="A56" s="1" t="s">
        <v>309</v>
      </c>
      <c r="B56" s="34" t="n">
        <v>13</v>
      </c>
      <c r="C56" s="34" t="n">
        <v>17</v>
      </c>
      <c r="D56" s="34" t="n">
        <v>22</v>
      </c>
    </row>
    <row r="58" customFormat="false" ht="15" hidden="false" customHeight="true" outlineLevel="0" collapsed="false">
      <c r="A58" s="31" t="s">
        <v>310</v>
      </c>
      <c r="B58" s="33" t="s">
        <v>288</v>
      </c>
      <c r="C58" s="33" t="s">
        <v>289</v>
      </c>
      <c r="D58" s="33" t="s">
        <v>290</v>
      </c>
    </row>
    <row r="59" customFormat="false" ht="15" hidden="false" customHeight="true" outlineLevel="0" collapsed="false">
      <c r="A59" s="2" t="s">
        <v>291</v>
      </c>
      <c r="B59" s="35" t="str">
        <f aca="false">IFERROR((($B$4*(1+10/100)^5/$C$56)/$B$52)^(1/5)-1,"-")</f>
        <v>-</v>
      </c>
      <c r="C59" s="35" t="str">
        <f aca="false">IFERROR((($B$4*(1+15/100)^5/$C$56)/$B$52)^(1/5)-1,"-")</f>
        <v>-</v>
      </c>
      <c r="D59" s="35" t="str">
        <f aca="false">IFERROR((($B$4*(1+20/100)^5/$C$56)/$B$52)^(1/5)-1,"-")</f>
        <v>-</v>
      </c>
    </row>
    <row r="60" customFormat="false" ht="15" hidden="false" customHeight="true" outlineLevel="0" collapsed="false">
      <c r="A60" s="2" t="s">
        <v>292</v>
      </c>
      <c r="B60" s="35" t="str">
        <f aca="false">IFERROR((($B$4*(1+10/100)^10/$C$56)/$B$52)^(1/10)-1,"-")</f>
        <v>-</v>
      </c>
      <c r="C60" s="35" t="str">
        <f aca="false">IFERROR((($B$4*(1+15/100)^10/$C$56)/$B$52)^(1/10)-1,"-")</f>
        <v>-</v>
      </c>
      <c r="D60" s="35" t="str">
        <f aca="false">IFERROR((($B$4*(1+20/100)^10/$C$56)/$B$52)^(1/10)-1,"-")</f>
        <v>-</v>
      </c>
    </row>
    <row r="61" customFormat="false" ht="15" hidden="false" customHeight="true" outlineLevel="0" collapsed="false">
      <c r="A61" s="2" t="s">
        <v>293</v>
      </c>
      <c r="B61" s="35" t="str">
        <f aca="false">IFERROR((($B$4*(1+10/100)^15/$C$56)/$B$52)^(1/15)-1,"-")</f>
        <v>-</v>
      </c>
      <c r="C61" s="35" t="str">
        <f aca="false">IFERROR((($B$4*(1+15/100)^15/$C$56)/$B$52)^(1/15)-1,"-")</f>
        <v>-</v>
      </c>
      <c r="D61" s="35" t="str">
        <f aca="false">IFERROR((($B$4*(1+20/100)^15/$C$56)/$B$52)^(1/15)-1,"-")</f>
        <v>-</v>
      </c>
    </row>
    <row r="63" customFormat="false" ht="15" hidden="false" customHeight="true" outlineLevel="0" collapsed="false">
      <c r="A63" s="31" t="s">
        <v>311</v>
      </c>
    </row>
    <row r="64" customFormat="false" ht="15" hidden="false" customHeight="true" outlineLevel="0" collapsed="false">
      <c r="A64" s="1" t="s">
        <v>312</v>
      </c>
      <c r="B64" s="35" t="str">
        <f aca="false">B20</f>
        <v>-</v>
      </c>
    </row>
    <row r="65" customFormat="false" ht="15" hidden="false" customHeight="true" outlineLevel="0" collapsed="false">
      <c r="A65" s="1" t="s">
        <v>313</v>
      </c>
      <c r="B65" s="35" t="str">
        <f aca="false">IFERROR((($B$4*(1+10/100)^10/$C$9)/$B$52)^(1/10)-1,"-")</f>
        <v>-</v>
      </c>
    </row>
    <row r="66" customFormat="false" ht="15" hidden="false" customHeight="true" outlineLevel="0" collapsed="false">
      <c r="A66" s="1" t="s">
        <v>314</v>
      </c>
      <c r="B66" s="36" t="str">
        <f aca="false">IF(OR(B64="-",B65="-"),"-",(B65-B64)*100)</f>
        <v>-</v>
      </c>
    </row>
    <row r="67" customFormat="false" ht="15" hidden="false" customHeight="true" outlineLevel="0" collapsed="false">
      <c r="A67" s="2" t="s">
        <v>315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18"/>
  </cols>
  <sheetData>
    <row r="1" customFormat="false" ht="15.75" hidden="false" customHeight="true" outlineLevel="0" collapsed="false">
      <c r="A1" s="10" t="s">
        <v>316</v>
      </c>
      <c r="B1" s="10"/>
      <c r="C1" s="10"/>
      <c r="D1" s="10"/>
    </row>
    <row r="3" customFormat="false" ht="15" hidden="false" customHeight="true" outlineLevel="0" collapsed="false">
      <c r="A3" s="6" t="s">
        <v>278</v>
      </c>
      <c r="B3" s="6"/>
    </row>
    <row r="4" customFormat="false" ht="15" hidden="false" customHeight="true" outlineLevel="0" collapsed="false">
      <c r="A4" s="17" t="s">
        <v>317</v>
      </c>
      <c r="B4" s="11" t="n">
        <f aca="false">'1. Inputs'!L39</f>
        <v>0</v>
      </c>
    </row>
    <row r="5" customFormat="false" ht="15" hidden="false" customHeight="true" outlineLevel="0" collapsed="false">
      <c r="A5" s="17" t="s">
        <v>201</v>
      </c>
      <c r="B5" s="11" t="n">
        <f aca="false">'1. Inputs'!B4</f>
        <v>0</v>
      </c>
    </row>
    <row r="6" customFormat="false" ht="15" hidden="false" customHeight="true" outlineLevel="0" collapsed="false">
      <c r="A6" s="17" t="s">
        <v>318</v>
      </c>
      <c r="B6" s="14" t="str">
        <f aca="false">IF(B4=0,"-",B5/B4)</f>
        <v>-</v>
      </c>
    </row>
    <row r="7" customFormat="false" ht="15" hidden="false" customHeight="true" outlineLevel="0" collapsed="false">
      <c r="A7" s="17" t="s">
        <v>234</v>
      </c>
      <c r="B7" s="21"/>
    </row>
    <row r="8" customFormat="false" ht="15" hidden="false" customHeight="true" outlineLevel="0" collapsed="false">
      <c r="A8" s="17" t="s">
        <v>160</v>
      </c>
      <c r="B8" s="21"/>
    </row>
    <row r="9" customFormat="false" ht="15" hidden="false" customHeight="true" outlineLevel="0" collapsed="false">
      <c r="A9" s="17" t="s">
        <v>319</v>
      </c>
      <c r="B9" s="12" t="n">
        <f aca="false">B7/100*B8/100</f>
        <v>0</v>
      </c>
    </row>
    <row r="11" customFormat="false" ht="15" hidden="false" customHeight="true" outlineLevel="0" collapsed="false">
      <c r="A11" s="6" t="s">
        <v>320</v>
      </c>
      <c r="B11" s="6" t="s">
        <v>321</v>
      </c>
      <c r="C11" s="6" t="s">
        <v>322</v>
      </c>
      <c r="D11" s="6" t="s">
        <v>323</v>
      </c>
    </row>
    <row r="12" customFormat="false" ht="15" hidden="false" customHeight="true" outlineLevel="0" collapsed="false">
      <c r="A12" s="17" t="s">
        <v>324</v>
      </c>
      <c r="B12" s="37" t="n">
        <f aca="false">B4*(1+B9)^5</f>
        <v>0</v>
      </c>
      <c r="C12" s="37" t="n">
        <f aca="false">B4*(1+B9)^7</f>
        <v>0</v>
      </c>
      <c r="D12" s="37" t="n">
        <f aca="false">B4*(1+B9)^10</f>
        <v>0</v>
      </c>
    </row>
    <row r="14" customFormat="false" ht="15" hidden="false" customHeight="true" outlineLevel="0" collapsed="false">
      <c r="A14" s="6" t="s">
        <v>325</v>
      </c>
      <c r="B14" s="6" t="s">
        <v>326</v>
      </c>
      <c r="C14" s="6" t="s">
        <v>327</v>
      </c>
      <c r="D14" s="6" t="s">
        <v>328</v>
      </c>
    </row>
    <row r="15" customFormat="false" ht="15" hidden="false" customHeight="true" outlineLevel="0" collapsed="false">
      <c r="A15" s="17" t="s">
        <v>329</v>
      </c>
      <c r="B15" s="12" t="str">
        <f aca="false">IFERROR((B12*B6/B5)^(1/5)-1,"-")</f>
        <v>-</v>
      </c>
      <c r="C15" s="12" t="str">
        <f aca="false">IFERROR((C12*B6/B5)^(1/7)-1,"-")</f>
        <v>-</v>
      </c>
      <c r="D15" s="12" t="str">
        <f aca="false">IFERROR((D12*B6/B5)^(1/10)-1,"-")</f>
        <v>-</v>
      </c>
    </row>
    <row r="16" customFormat="false" ht="15" hidden="false" customHeight="true" outlineLevel="0" collapsed="false">
      <c r="A16" s="17" t="s">
        <v>330</v>
      </c>
      <c r="B16" s="12" t="str">
        <f aca="false">IFERROR((B12*0.75*B6/B5)^(1/5)-1,"-")</f>
        <v>-</v>
      </c>
      <c r="C16" s="12" t="str">
        <f aca="false">IFERROR((C12*0.75*B6/B5)^(1/7)-1,"-")</f>
        <v>-</v>
      </c>
      <c r="D16" s="12" t="str">
        <f aca="false">IFERROR((D12*0.75*B6/B5)^(1/10)-1,"-")</f>
        <v>-</v>
      </c>
    </row>
    <row r="17" customFormat="false" ht="15" hidden="false" customHeight="true" outlineLevel="0" collapsed="false">
      <c r="A17" s="17" t="s">
        <v>331</v>
      </c>
      <c r="B17" s="12" t="str">
        <f aca="false">IFERROR((B12*0.5*B6/B5)^(1/5)-1,"-")</f>
        <v>-</v>
      </c>
      <c r="C17" s="12" t="str">
        <f aca="false">IFERROR((C12*0.5*B6/B5)^(1/7)-1,"-")</f>
        <v>-</v>
      </c>
      <c r="D17" s="12" t="str">
        <f aca="false">IFERROR((D12*0.5*B6/B5)^(1/10)-1,"-")</f>
        <v>-</v>
      </c>
    </row>
    <row r="18" customFormat="false" ht="15" hidden="false" customHeight="true" outlineLevel="0" collapsed="false">
      <c r="A18" s="17" t="s">
        <v>332</v>
      </c>
      <c r="B18" s="12" t="str">
        <f aca="false">IFERROR((B12*B22/B5)^(1/5)-1,"-")</f>
        <v>-</v>
      </c>
      <c r="C18" s="12" t="str">
        <f aca="false">IFERROR((C12*B22/B5)^(1/7)-1,"-")</f>
        <v>-</v>
      </c>
      <c r="D18" s="12" t="str">
        <f aca="false">IFERROR((D12*B22/B5)^(1/10)-1,"-")</f>
        <v>-</v>
      </c>
    </row>
    <row r="19" customFormat="false" ht="15" hidden="false" customHeight="true" outlineLevel="0" collapsed="false">
      <c r="A19" s="17" t="s">
        <v>333</v>
      </c>
      <c r="B19" s="12" t="str">
        <f aca="false">IFERROR((B12*B23/B5)^(1/5)-1,"-")</f>
        <v>-</v>
      </c>
      <c r="C19" s="12" t="str">
        <f aca="false">IFERROR((C12*B23/B5)^(1/7)-1,"-")</f>
        <v>-</v>
      </c>
      <c r="D19" s="12" t="str">
        <f aca="false">IFERROR((D12*B23/B5)^(1/10)-1,"-")</f>
        <v>-</v>
      </c>
    </row>
    <row r="20" customFormat="false" ht="15" hidden="false" customHeight="true" outlineLevel="0" collapsed="false">
      <c r="A20" s="17" t="s">
        <v>334</v>
      </c>
      <c r="B20" s="12" t="str">
        <f aca="false">IFERROR((B12*1/B5)^(1/5)-1,"-")</f>
        <v>-</v>
      </c>
      <c r="C20" s="12" t="str">
        <f aca="false">IFERROR((C12*1/B5)^(1/7)-1,"-")</f>
        <v>-</v>
      </c>
      <c r="D20" s="12" t="str">
        <f aca="false">IFERROR((D12*1/B5)^(1/10)-1,"-")</f>
        <v>-</v>
      </c>
    </row>
    <row r="22" customFormat="false" ht="15" hidden="false" customHeight="true" outlineLevel="0" collapsed="false">
      <c r="A22" s="38" t="s">
        <v>335</v>
      </c>
      <c r="B22" s="39"/>
    </row>
    <row r="23" customFormat="false" ht="15" hidden="false" customHeight="true" outlineLevel="0" collapsed="false">
      <c r="A23" s="38" t="s">
        <v>336</v>
      </c>
      <c r="B23" s="39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8"/>
  </cols>
  <sheetData>
    <row r="1" customFormat="false" ht="15.75" hidden="false" customHeight="true" outlineLevel="0" collapsed="false">
      <c r="A1" s="10" t="s">
        <v>337</v>
      </c>
      <c r="B1" s="10"/>
      <c r="C1" s="10"/>
      <c r="D1" s="10"/>
      <c r="E1" s="10"/>
    </row>
    <row r="3" customFormat="false" ht="23.25" hidden="false" customHeight="true" outlineLevel="0" collapsed="false">
      <c r="A3" s="6" t="s">
        <v>338</v>
      </c>
      <c r="B3" s="6" t="s">
        <v>339</v>
      </c>
      <c r="C3" s="6" t="s">
        <v>340</v>
      </c>
      <c r="D3" s="6" t="s">
        <v>341</v>
      </c>
      <c r="E3" s="6" t="s">
        <v>342</v>
      </c>
    </row>
    <row r="4" customFormat="false" ht="15" hidden="false" customHeight="true" outlineLevel="0" collapsed="false">
      <c r="A4" s="38" t="s">
        <v>343</v>
      </c>
      <c r="B4" s="40"/>
    </row>
    <row r="5" customFormat="false" ht="15" hidden="false" customHeight="true" outlineLevel="0" collapsed="false">
      <c r="A5" s="17" t="s">
        <v>201</v>
      </c>
      <c r="B5" s="41" t="n">
        <f aca="false">'1. Inputs'!B4</f>
        <v>0</v>
      </c>
    </row>
    <row r="7" customFormat="false" ht="15" hidden="false" customHeight="true" outlineLevel="0" collapsed="false">
      <c r="A7" s="17" t="s">
        <v>344</v>
      </c>
      <c r="B7" s="42" t="n">
        <f aca="false">B4*0.5</f>
        <v>0</v>
      </c>
      <c r="C7" s="42" t="n">
        <f aca="false">B4*0.7</f>
        <v>0</v>
      </c>
      <c r="D7" s="15" t="s">
        <v>345</v>
      </c>
      <c r="E7" s="43" t="str">
        <f aca="false">IF(AND(B5&gt;=B7,B5&lt;C7),"◄ CURRENT","")</f>
        <v/>
      </c>
    </row>
    <row r="8" customFormat="false" ht="15" hidden="false" customHeight="true" outlineLevel="0" collapsed="false">
      <c r="A8" s="17" t="s">
        <v>346</v>
      </c>
      <c r="B8" s="42" t="n">
        <f aca="false">B4*0.7</f>
        <v>0</v>
      </c>
      <c r="C8" s="42" t="n">
        <f aca="false">B4*0.9</f>
        <v>0</v>
      </c>
      <c r="D8" s="15" t="s">
        <v>347</v>
      </c>
      <c r="E8" s="43" t="str">
        <f aca="false">IF(AND(B5&gt;=B8,B5&lt;C8),"◄ CURRENT","")</f>
        <v/>
      </c>
    </row>
    <row r="9" customFormat="false" ht="15" hidden="false" customHeight="true" outlineLevel="0" collapsed="false">
      <c r="A9" s="17" t="s">
        <v>348</v>
      </c>
      <c r="B9" s="42" t="n">
        <f aca="false">B4*0.9</f>
        <v>0</v>
      </c>
      <c r="C9" s="42" t="n">
        <f aca="false">B4*1.1</f>
        <v>0</v>
      </c>
      <c r="D9" s="15" t="s">
        <v>349</v>
      </c>
      <c r="E9" s="43" t="str">
        <f aca="false">IF(AND(B5&gt;=B9,B5&lt;C9),"◄ CURRENT","")</f>
        <v/>
      </c>
    </row>
    <row r="10" customFormat="false" ht="15" hidden="false" customHeight="true" outlineLevel="0" collapsed="false">
      <c r="A10" s="17" t="s">
        <v>350</v>
      </c>
      <c r="B10" s="42" t="n">
        <f aca="false">B4*1.1</f>
        <v>0</v>
      </c>
      <c r="C10" s="42" t="n">
        <f aca="false">B4*1.3</f>
        <v>0</v>
      </c>
      <c r="D10" s="15" t="s">
        <v>351</v>
      </c>
      <c r="E10" s="43" t="str">
        <f aca="false">IF(AND(B5&gt;=B10,B5&lt;C10),"◄ CURRENT","")</f>
        <v/>
      </c>
    </row>
    <row r="11" customFormat="false" ht="15" hidden="false" customHeight="true" outlineLevel="0" collapsed="false">
      <c r="A11" s="17" t="s">
        <v>352</v>
      </c>
      <c r="B11" s="42" t="n">
        <f aca="false">B4*1.3</f>
        <v>0</v>
      </c>
      <c r="C11" s="15" t="s">
        <v>353</v>
      </c>
      <c r="D11" s="15" t="s">
        <v>354</v>
      </c>
      <c r="E11" s="43" t="str">
        <f aca="false">IF(B5&gt;=B11,"◄ CURRENT","")</f>
        <v>◄ CURRENT</v>
      </c>
    </row>
    <row r="15" customFormat="false" ht="23.25" hidden="false" customHeight="true" outlineLevel="0" collapsed="false">
      <c r="A15" s="6" t="s">
        <v>355</v>
      </c>
      <c r="B15" s="6"/>
      <c r="C15" s="6"/>
      <c r="D15" s="6"/>
      <c r="E15" s="6"/>
    </row>
    <row r="16" customFormat="false" ht="15" hidden="false" customHeight="true" outlineLevel="0" collapsed="false">
      <c r="A16" s="38" t="s">
        <v>317</v>
      </c>
      <c r="B16" s="40"/>
    </row>
    <row r="17" customFormat="false" ht="15" hidden="false" customHeight="true" outlineLevel="0" collapsed="false">
      <c r="A17" s="38" t="s">
        <v>356</v>
      </c>
      <c r="B17" s="39"/>
    </row>
    <row r="19" customFormat="false" ht="15" hidden="false" customHeight="true" outlineLevel="0" collapsed="false">
      <c r="A19" s="17" t="s">
        <v>344</v>
      </c>
      <c r="B19" s="42" t="n">
        <f aca="false">B16*0.6*B17</f>
        <v>0</v>
      </c>
      <c r="C19" s="42" t="n">
        <f aca="false">B16*0.8*B17</f>
        <v>0</v>
      </c>
    </row>
    <row r="20" customFormat="false" ht="15" hidden="false" customHeight="true" outlineLevel="0" collapsed="false">
      <c r="A20" s="17" t="s">
        <v>346</v>
      </c>
      <c r="B20" s="42" t="n">
        <f aca="false">B16*0.8*B17</f>
        <v>0</v>
      </c>
      <c r="C20" s="42" t="n">
        <f aca="false">B16*1*B17</f>
        <v>0</v>
      </c>
    </row>
    <row r="21" customFormat="false" ht="15" hidden="false" customHeight="true" outlineLevel="0" collapsed="false">
      <c r="A21" s="17" t="s">
        <v>348</v>
      </c>
      <c r="B21" s="42" t="n">
        <f aca="false">B16*1*B17</f>
        <v>0</v>
      </c>
      <c r="C21" s="42" t="n">
        <f aca="false">B16*1.2*B17</f>
        <v>0</v>
      </c>
    </row>
    <row r="22" customFormat="false" ht="15" hidden="false" customHeight="true" outlineLevel="0" collapsed="false">
      <c r="A22" s="17" t="s">
        <v>350</v>
      </c>
      <c r="B22" s="42" t="n">
        <f aca="false">B16*1.2*B17</f>
        <v>0</v>
      </c>
      <c r="C22" s="42" t="n">
        <f aca="false">B16*1.5*B17</f>
        <v>0</v>
      </c>
    </row>
    <row r="23" customFormat="false" ht="15" hidden="false" customHeight="true" outlineLevel="0" collapsed="false">
      <c r="A23" s="17" t="s">
        <v>352</v>
      </c>
      <c r="B23" s="42" t="n">
        <f aca="false">B16*1.5*B17</f>
        <v>0</v>
      </c>
      <c r="C23" s="15" t="s">
        <v>353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C00"/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</cols>
  <sheetData>
    <row r="1" customFormat="false" ht="15.75" hidden="false" customHeight="true" outlineLevel="0" collapsed="false">
      <c r="A1" s="10" t="s">
        <v>357</v>
      </c>
      <c r="B1" s="10"/>
      <c r="C1" s="10"/>
    </row>
    <row r="3" customFormat="false" ht="23.25" hidden="false" customHeight="true" outlineLevel="0" collapsed="false">
      <c r="A3" s="6" t="s">
        <v>358</v>
      </c>
      <c r="B3" s="6" t="s">
        <v>359</v>
      </c>
      <c r="C3" s="6" t="s">
        <v>360</v>
      </c>
    </row>
    <row r="4" customFormat="false" ht="15" hidden="false" customHeight="true" outlineLevel="0" collapsed="false">
      <c r="A4" s="17" t="s">
        <v>201</v>
      </c>
      <c r="B4" s="41" t="n">
        <f aca="false">'1. Inputs'!B4</f>
        <v>0</v>
      </c>
    </row>
    <row r="5" customFormat="false" ht="15" hidden="false" customHeight="true" outlineLevel="0" collapsed="false">
      <c r="A5" s="17" t="s">
        <v>361</v>
      </c>
      <c r="B5" s="40"/>
      <c r="C5" s="12" t="str">
        <f aca="false">IF(B4=0,"-",(B5-B4)/B4)</f>
        <v>-</v>
      </c>
    </row>
    <row r="6" customFormat="false" ht="15" hidden="false" customHeight="true" outlineLevel="0" collapsed="false">
      <c r="A6" s="17" t="s">
        <v>362</v>
      </c>
      <c r="B6" s="40"/>
      <c r="C6" s="12" t="str">
        <f aca="false">IF(B4=0,"-",(B6-B4)/B4)</f>
        <v>-</v>
      </c>
    </row>
    <row r="7" customFormat="false" ht="15" hidden="false" customHeight="true" outlineLevel="0" collapsed="false">
      <c r="A7" s="17" t="s">
        <v>363</v>
      </c>
      <c r="B7" s="40"/>
      <c r="C7" s="12" t="str">
        <f aca="false">IF(B4=0,"-",(B7-B4)/B4)</f>
        <v>-</v>
      </c>
    </row>
    <row r="8" customFormat="false" ht="15" hidden="false" customHeight="true" outlineLevel="0" collapsed="false">
      <c r="A8" s="17" t="s">
        <v>364</v>
      </c>
      <c r="B8" s="40"/>
      <c r="C8" s="12" t="str">
        <f aca="false">IF(B4=0,"-",(B8-B4)/B4)</f>
        <v>-</v>
      </c>
    </row>
    <row r="10" customFormat="false" ht="15" hidden="false" customHeight="true" outlineLevel="0" collapsed="false">
      <c r="A10" s="6" t="s">
        <v>365</v>
      </c>
      <c r="B10" s="6" t="s">
        <v>359</v>
      </c>
      <c r="C10" s="6" t="s">
        <v>366</v>
      </c>
    </row>
    <row r="11" customFormat="false" ht="15" hidden="false" customHeight="true" outlineLevel="0" collapsed="false">
      <c r="A11" s="17" t="s">
        <v>367</v>
      </c>
      <c r="B11" s="40"/>
      <c r="C11" s="12" t="str">
        <f aca="false">IF(B4=0,"-",(B11-B4)/B4)</f>
        <v>-</v>
      </c>
    </row>
    <row r="12" customFormat="false" ht="15" hidden="false" customHeight="true" outlineLevel="0" collapsed="false">
      <c r="A12" s="17" t="s">
        <v>368</v>
      </c>
      <c r="B12" s="40"/>
      <c r="C12" s="12" t="str">
        <f aca="false">IF(B4=0,"-",(B12-B4)/B4)</f>
        <v>-</v>
      </c>
    </row>
    <row r="13" customFormat="false" ht="15" hidden="false" customHeight="true" outlineLevel="0" collapsed="false">
      <c r="A13" s="17" t="s">
        <v>369</v>
      </c>
      <c r="B13" s="40"/>
      <c r="C13" s="12" t="str">
        <f aca="false">IF(B4=0,"-",(B13-B4)/B4)</f>
        <v>-</v>
      </c>
    </row>
    <row r="14" customFormat="false" ht="15" hidden="false" customHeight="true" outlineLevel="0" collapsed="false">
      <c r="A14" s="17" t="s">
        <v>370</v>
      </c>
      <c r="B14" s="40"/>
      <c r="C14" s="12" t="str">
        <f aca="false">IF(B4=0,"-",(B14-B4)/B4)</f>
        <v>-</v>
      </c>
    </row>
    <row r="16" customFormat="false" ht="15" hidden="false" customHeight="true" outlineLevel="0" collapsed="false">
      <c r="A16" s="44" t="s">
        <v>371</v>
      </c>
    </row>
    <row r="17" customFormat="false" ht="15" hidden="false" customHeight="true" outlineLevel="0" collapsed="false">
      <c r="A17" s="38" t="s">
        <v>372</v>
      </c>
      <c r="B17" s="21"/>
    </row>
    <row r="18" customFormat="false" ht="15" hidden="false" customHeight="true" outlineLevel="0" collapsed="false">
      <c r="A18" s="38" t="s">
        <v>373</v>
      </c>
      <c r="B18" s="21"/>
    </row>
    <row r="19" customFormat="false" ht="15" hidden="false" customHeight="true" outlineLevel="0" collapsed="false">
      <c r="A19" s="26" t="s">
        <v>374</v>
      </c>
      <c r="B19" s="45" t="str">
        <f aca="false">IF(ABS(B17)=0,"-",ABS(B18)/ABS(B17))</f>
        <v>-</v>
      </c>
    </row>
    <row r="21" customFormat="false" ht="15" hidden="false" customHeight="true" outlineLevel="0" collapsed="false">
      <c r="A21" s="3" t="s">
        <v>375</v>
      </c>
    </row>
    <row r="22" customFormat="false" ht="15" hidden="false" customHeight="true" outlineLevel="0" collapsed="false">
      <c r="A22" s="3" t="s">
        <v>376</v>
      </c>
    </row>
    <row r="23" customFormat="false" ht="15" hidden="false" customHeight="true" outlineLevel="0" collapsed="false">
      <c r="A23" s="3" t="s">
        <v>377</v>
      </c>
    </row>
    <row r="24" customFormat="false" ht="15" hidden="false" customHeight="true" outlineLevel="0" collapsed="false">
      <c r="A24" s="3" t="s">
        <v>378</v>
      </c>
    </row>
    <row r="25" customFormat="false" ht="15" hidden="false" customHeight="true" outlineLevel="0" collapsed="false">
      <c r="A25" s="3" t="s">
        <v>379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0080"/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6" min="2" style="1" width="16"/>
  </cols>
  <sheetData>
    <row r="1" customFormat="false" ht="15.75" hidden="false" customHeight="true" outlineLevel="0" collapsed="false">
      <c r="A1" s="10" t="s">
        <v>380</v>
      </c>
      <c r="B1" s="10"/>
      <c r="C1" s="10"/>
      <c r="D1" s="10"/>
      <c r="E1" s="10"/>
    </row>
    <row r="3" customFormat="false" ht="15" hidden="false" customHeight="true" outlineLevel="0" collapsed="false">
      <c r="A3" s="6" t="s">
        <v>381</v>
      </c>
      <c r="B3" s="6" t="s">
        <v>240</v>
      </c>
      <c r="C3" s="6" t="s">
        <v>241</v>
      </c>
      <c r="D3" s="6" t="s">
        <v>242</v>
      </c>
    </row>
    <row r="4" customFormat="false" ht="15" hidden="false" customHeight="true" outlineLevel="0" collapsed="false">
      <c r="A4" s="9" t="s">
        <v>317</v>
      </c>
      <c r="B4" s="5"/>
      <c r="C4" s="5"/>
      <c r="D4" s="5"/>
    </row>
    <row r="5" customFormat="false" ht="15" hidden="false" customHeight="true" outlineLevel="0" collapsed="false">
      <c r="A5" s="9" t="s">
        <v>234</v>
      </c>
      <c r="B5" s="5" t="n">
        <v>12</v>
      </c>
      <c r="C5" s="5" t="n">
        <v>15</v>
      </c>
      <c r="D5" s="5" t="n">
        <v>18</v>
      </c>
    </row>
    <row r="6" customFormat="false" ht="15" hidden="false" customHeight="true" outlineLevel="0" collapsed="false">
      <c r="A6" s="9" t="s">
        <v>160</v>
      </c>
      <c r="B6" s="5" t="n">
        <v>75</v>
      </c>
      <c r="C6" s="5" t="n">
        <v>80</v>
      </c>
      <c r="D6" s="5" t="n">
        <v>80</v>
      </c>
    </row>
    <row r="7" customFormat="false" ht="15" hidden="false" customHeight="true" outlineLevel="0" collapsed="false">
      <c r="A7" s="9" t="s">
        <v>382</v>
      </c>
      <c r="B7" s="12" t="n">
        <f aca="false">B5/100*B6/100</f>
        <v>0.09</v>
      </c>
      <c r="C7" s="12" t="n">
        <f aca="false">C5/100*C6/100</f>
        <v>0.12</v>
      </c>
      <c r="D7" s="12" t="n">
        <f aca="false">D5/100*D6/100</f>
        <v>0.144</v>
      </c>
    </row>
    <row r="8" customFormat="false" ht="15" hidden="false" customHeight="true" outlineLevel="0" collapsed="false">
      <c r="A8" s="9" t="s">
        <v>383</v>
      </c>
      <c r="B8" s="5" t="n">
        <v>1.5</v>
      </c>
      <c r="C8" s="5" t="n">
        <v>2.5</v>
      </c>
      <c r="D8" s="5" t="n">
        <v>3.5</v>
      </c>
    </row>
    <row r="9" customFormat="false" ht="15" hidden="false" customHeight="true" outlineLevel="0" collapsed="false">
      <c r="A9" s="9" t="s">
        <v>201</v>
      </c>
      <c r="B9" s="46" t="n">
        <f aca="false">'1. Inputs'!B4</f>
        <v>0</v>
      </c>
      <c r="C9" s="46" t="n">
        <f aca="false">'1. Inputs'!B4</f>
        <v>0</v>
      </c>
      <c r="D9" s="46" t="n">
        <f aca="false">'1. Inputs'!B4</f>
        <v>0</v>
      </c>
    </row>
    <row r="11" customFormat="false" ht="15" hidden="false" customHeight="true" outlineLevel="0" collapsed="false">
      <c r="A11" s="6" t="s">
        <v>384</v>
      </c>
      <c r="B11" s="6" t="s">
        <v>385</v>
      </c>
      <c r="C11" s="6" t="s">
        <v>321</v>
      </c>
      <c r="D11" s="6" t="s">
        <v>322</v>
      </c>
      <c r="E11" s="6" t="s">
        <v>323</v>
      </c>
    </row>
    <row r="12" customFormat="false" ht="15" hidden="false" customHeight="true" outlineLevel="0" collapsed="false">
      <c r="A12" s="17" t="s">
        <v>324</v>
      </c>
      <c r="B12" s="37" t="n">
        <f aca="false">B4*(1+B7)^3</f>
        <v>0</v>
      </c>
      <c r="C12" s="37" t="n">
        <f aca="false">B4*(1+B7)^5</f>
        <v>0</v>
      </c>
      <c r="D12" s="37" t="n">
        <f aca="false">B4*(1+B7)^7</f>
        <v>0</v>
      </c>
      <c r="E12" s="37" t="n">
        <f aca="false">B4*(1+B7)^10</f>
        <v>0</v>
      </c>
    </row>
    <row r="13" customFormat="false" ht="15" hidden="false" customHeight="true" outlineLevel="0" collapsed="false">
      <c r="A13" s="17" t="s">
        <v>386</v>
      </c>
      <c r="B13" s="37" t="n">
        <f aca="false">B12*B8</f>
        <v>0</v>
      </c>
      <c r="C13" s="37" t="n">
        <f aca="false">C12*B8</f>
        <v>0</v>
      </c>
      <c r="D13" s="37" t="n">
        <f aca="false">D12*B8</f>
        <v>0</v>
      </c>
      <c r="E13" s="37" t="n">
        <f aca="false">E12*B8</f>
        <v>0</v>
      </c>
    </row>
    <row r="14" customFormat="false" ht="15" hidden="false" customHeight="true" outlineLevel="0" collapsed="false">
      <c r="A14" s="17" t="s">
        <v>387</v>
      </c>
      <c r="B14" s="12" t="str">
        <f aca="false">IFERROR((B13/B9)^(1/3)-1,"-")</f>
        <v>-</v>
      </c>
      <c r="C14" s="12" t="str">
        <f aca="false">IFERROR((C13/B9)^(1/5)-1,"-")</f>
        <v>-</v>
      </c>
      <c r="D14" s="12" t="str">
        <f aca="false">IFERROR((D13/B9)^(1/7)-1,"-")</f>
        <v>-</v>
      </c>
      <c r="E14" s="12" t="str">
        <f aca="false">IFERROR((E13/B9)^(1/10)-1,"-")</f>
        <v>-</v>
      </c>
    </row>
    <row r="21" customFormat="false" ht="15" hidden="false" customHeight="true" outlineLevel="0" collapsed="false">
      <c r="A21" s="6" t="s">
        <v>388</v>
      </c>
      <c r="B21" s="6" t="s">
        <v>385</v>
      </c>
      <c r="C21" s="6" t="s">
        <v>321</v>
      </c>
      <c r="D21" s="6" t="s">
        <v>322</v>
      </c>
      <c r="E21" s="6" t="s">
        <v>323</v>
      </c>
    </row>
    <row r="22" customFormat="false" ht="15" hidden="false" customHeight="true" outlineLevel="0" collapsed="false">
      <c r="A22" s="17" t="s">
        <v>324</v>
      </c>
      <c r="B22" s="37" t="n">
        <f aca="false">C4*(1+C7)^3</f>
        <v>0</v>
      </c>
      <c r="C22" s="37" t="n">
        <f aca="false">C4*(1+C7)^5</f>
        <v>0</v>
      </c>
      <c r="D22" s="37" t="n">
        <f aca="false">C4*(1+C7)^7</f>
        <v>0</v>
      </c>
      <c r="E22" s="37" t="n">
        <f aca="false">C4*(1+C7)^10</f>
        <v>0</v>
      </c>
    </row>
    <row r="23" customFormat="false" ht="15" hidden="false" customHeight="true" outlineLevel="0" collapsed="false">
      <c r="A23" s="17" t="s">
        <v>386</v>
      </c>
      <c r="B23" s="37" t="n">
        <f aca="false">B22*C8</f>
        <v>0</v>
      </c>
      <c r="C23" s="37" t="n">
        <f aca="false">C22*C8</f>
        <v>0</v>
      </c>
      <c r="D23" s="37" t="n">
        <f aca="false">D22*C8</f>
        <v>0</v>
      </c>
      <c r="E23" s="37" t="n">
        <f aca="false">E22*C8</f>
        <v>0</v>
      </c>
    </row>
    <row r="24" customFormat="false" ht="15" hidden="false" customHeight="true" outlineLevel="0" collapsed="false">
      <c r="A24" s="17" t="s">
        <v>387</v>
      </c>
      <c r="B24" s="12" t="str">
        <f aca="false">IFERROR((B23/C9)^(1/3)-1,"-")</f>
        <v>-</v>
      </c>
      <c r="C24" s="12" t="str">
        <f aca="false">IFERROR((C23/C9)^(1/5)-1,"-")</f>
        <v>-</v>
      </c>
      <c r="D24" s="12" t="str">
        <f aca="false">IFERROR((D23/C9)^(1/7)-1,"-")</f>
        <v>-</v>
      </c>
      <c r="E24" s="12" t="str">
        <f aca="false">IFERROR((E23/C9)^(1/10)-1,"-")</f>
        <v>-</v>
      </c>
    </row>
    <row r="31" customFormat="false" ht="15" hidden="false" customHeight="true" outlineLevel="0" collapsed="false">
      <c r="A31" s="6" t="s">
        <v>389</v>
      </c>
      <c r="B31" s="6" t="s">
        <v>385</v>
      </c>
      <c r="C31" s="6" t="s">
        <v>321</v>
      </c>
      <c r="D31" s="6" t="s">
        <v>322</v>
      </c>
      <c r="E31" s="6" t="s">
        <v>323</v>
      </c>
    </row>
    <row r="32" customFormat="false" ht="15" hidden="false" customHeight="true" outlineLevel="0" collapsed="false">
      <c r="A32" s="17" t="s">
        <v>324</v>
      </c>
      <c r="B32" s="37" t="n">
        <f aca="false">D4*(1+D7)^3</f>
        <v>0</v>
      </c>
      <c r="C32" s="37" t="n">
        <f aca="false">D4*(1+D7)^5</f>
        <v>0</v>
      </c>
      <c r="D32" s="37" t="n">
        <f aca="false">D4*(1+D7)^7</f>
        <v>0</v>
      </c>
      <c r="E32" s="37" t="n">
        <f aca="false">D4*(1+D7)^10</f>
        <v>0</v>
      </c>
    </row>
    <row r="33" customFormat="false" ht="15" hidden="false" customHeight="true" outlineLevel="0" collapsed="false">
      <c r="A33" s="17" t="s">
        <v>386</v>
      </c>
      <c r="B33" s="37" t="n">
        <f aca="false">B32*D8</f>
        <v>0</v>
      </c>
      <c r="C33" s="37" t="n">
        <f aca="false">C32*D8</f>
        <v>0</v>
      </c>
      <c r="D33" s="37" t="n">
        <f aca="false">D32*D8</f>
        <v>0</v>
      </c>
      <c r="E33" s="37" t="n">
        <f aca="false">E32*D8</f>
        <v>0</v>
      </c>
    </row>
    <row r="34" customFormat="false" ht="15" hidden="false" customHeight="true" outlineLevel="0" collapsed="false">
      <c r="A34" s="17" t="s">
        <v>387</v>
      </c>
      <c r="B34" s="12" t="str">
        <f aca="false">IFERROR((B33/D9)^(1/3)-1,"-")</f>
        <v>-</v>
      </c>
      <c r="C34" s="12" t="str">
        <f aca="false">IFERROR((C33/D9)^(1/5)-1,"-")</f>
        <v>-</v>
      </c>
      <c r="D34" s="12" t="str">
        <f aca="false">IFERROR((D33/D9)^(1/7)-1,"-")</f>
        <v>-</v>
      </c>
      <c r="E34" s="12" t="str">
        <f aca="false">IFERROR((E33/D9)^(1/10)-1,"-")</f>
        <v>-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0080"/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3" min="2" style="1" width="16"/>
  </cols>
  <sheetData>
    <row r="1" customFormat="false" ht="15.75" hidden="false" customHeight="true" outlineLevel="0" collapsed="false">
      <c r="A1" s="10" t="s">
        <v>390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3" customFormat="false" ht="15" hidden="false" customHeight="true" outlineLevel="0" collapsed="false">
      <c r="A3" s="6" t="s">
        <v>391</v>
      </c>
      <c r="B3" s="6"/>
    </row>
    <row r="4" customFormat="false" ht="15" hidden="false" customHeight="true" outlineLevel="0" collapsed="false">
      <c r="A4" s="17" t="s">
        <v>317</v>
      </c>
      <c r="B4" s="5"/>
    </row>
    <row r="5" customFormat="false" ht="15" hidden="false" customHeight="true" outlineLevel="0" collapsed="false">
      <c r="A5" s="17" t="s">
        <v>234</v>
      </c>
      <c r="B5" s="5" t="n">
        <v>15</v>
      </c>
    </row>
    <row r="6" customFormat="false" ht="15" hidden="false" customHeight="true" outlineLevel="0" collapsed="false">
      <c r="A6" s="17" t="s">
        <v>392</v>
      </c>
      <c r="B6" s="5" t="n">
        <v>11</v>
      </c>
    </row>
    <row r="7" customFormat="false" ht="15" hidden="false" customHeight="true" outlineLevel="0" collapsed="false">
      <c r="A7" s="17" t="s">
        <v>160</v>
      </c>
      <c r="B7" s="5" t="n">
        <v>80</v>
      </c>
    </row>
    <row r="8" customFormat="false" ht="15" hidden="false" customHeight="true" outlineLevel="0" collapsed="false">
      <c r="A8" s="17" t="s">
        <v>382</v>
      </c>
      <c r="B8" s="12" t="n">
        <f aca="false">B5/100*B7/100</f>
        <v>0.12</v>
      </c>
    </row>
    <row r="9" customFormat="false" ht="15" hidden="false" customHeight="true" outlineLevel="0" collapsed="false">
      <c r="A9" s="17" t="s">
        <v>393</v>
      </c>
      <c r="B9" s="12" t="n">
        <f aca="false">(B5-B6)/100</f>
        <v>0.04</v>
      </c>
    </row>
    <row r="10" customFormat="false" ht="15" hidden="false" customHeight="true" outlineLevel="0" collapsed="false">
      <c r="A10" s="17" t="s">
        <v>394</v>
      </c>
      <c r="B10" s="5" t="n">
        <v>4</v>
      </c>
    </row>
    <row r="11" customFormat="false" ht="15" hidden="false" customHeight="true" outlineLevel="0" collapsed="false">
      <c r="A11" s="17" t="s">
        <v>249</v>
      </c>
      <c r="B11" s="15" t="n">
        <f aca="false">'1. Inputs'!B5</f>
        <v>0</v>
      </c>
    </row>
    <row r="12" customFormat="false" ht="15" hidden="false" customHeight="true" outlineLevel="0" collapsed="false">
      <c r="A12" s="17" t="s">
        <v>201</v>
      </c>
      <c r="B12" s="15" t="n">
        <f aca="false">'1. Inputs'!B4</f>
        <v>0</v>
      </c>
    </row>
    <row r="14" customFormat="false" ht="23.25" hidden="false" customHeight="true" outlineLevel="0" collapsed="false">
      <c r="A14" s="6" t="s">
        <v>395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customFormat="false" ht="15" hidden="false" customHeight="true" outlineLevel="0" collapsed="false">
      <c r="A15" s="7" t="s">
        <v>252</v>
      </c>
      <c r="B15" s="7" t="s">
        <v>241</v>
      </c>
      <c r="C15" s="7" t="s">
        <v>253</v>
      </c>
      <c r="D15" s="7" t="s">
        <v>254</v>
      </c>
      <c r="E15" s="7" t="s">
        <v>255</v>
      </c>
      <c r="F15" s="7" t="s">
        <v>256</v>
      </c>
      <c r="G15" s="7" t="s">
        <v>257</v>
      </c>
      <c r="H15" s="7" t="s">
        <v>258</v>
      </c>
      <c r="I15" s="7" t="s">
        <v>259</v>
      </c>
      <c r="J15" s="7" t="s">
        <v>260</v>
      </c>
      <c r="K15" s="7" t="s">
        <v>261</v>
      </c>
      <c r="L15" s="7" t="s">
        <v>262</v>
      </c>
      <c r="M15" s="7" t="s">
        <v>263</v>
      </c>
    </row>
    <row r="16" customFormat="false" ht="15" hidden="false" customHeight="true" outlineLevel="0" collapsed="false">
      <c r="A16" s="17" t="s">
        <v>207</v>
      </c>
      <c r="B16" s="24" t="n">
        <f aca="false">B4</f>
        <v>0</v>
      </c>
      <c r="C16" s="11" t="n">
        <f aca="false">B16*(1+B8)</f>
        <v>0</v>
      </c>
      <c r="D16" s="11" t="n">
        <f aca="false">C16*(1+B8)</f>
        <v>0</v>
      </c>
      <c r="E16" s="11" t="n">
        <f aca="false">D16*(1+B8)</f>
        <v>0</v>
      </c>
      <c r="F16" s="11" t="n">
        <f aca="false">E16*(1+B8)</f>
        <v>0</v>
      </c>
      <c r="G16" s="11" t="n">
        <f aca="false">F16*(1+B8)</f>
        <v>0</v>
      </c>
      <c r="H16" s="11" t="n">
        <f aca="false">G16*(1+B8)</f>
        <v>0</v>
      </c>
      <c r="I16" s="11" t="n">
        <f aca="false">H16*(1+B8)</f>
        <v>0</v>
      </c>
      <c r="J16" s="11" t="n">
        <f aca="false">I16*(1+B8)</f>
        <v>0</v>
      </c>
      <c r="K16" s="11" t="n">
        <f aca="false">J16*(1+B8)</f>
        <v>0</v>
      </c>
      <c r="L16" s="11" t="n">
        <f aca="false">K16*(1+B8)</f>
        <v>0</v>
      </c>
    </row>
    <row r="17" customFormat="false" ht="15" hidden="false" customHeight="true" outlineLevel="0" collapsed="false">
      <c r="A17" s="17" t="s">
        <v>396</v>
      </c>
      <c r="C17" s="11" t="n">
        <f aca="false">B16*B9</f>
        <v>0</v>
      </c>
      <c r="D17" s="11" t="n">
        <f aca="false">C16*B9</f>
        <v>0</v>
      </c>
      <c r="E17" s="11" t="n">
        <f aca="false">D16*B9</f>
        <v>0</v>
      </c>
      <c r="F17" s="11" t="n">
        <f aca="false">E16*B9</f>
        <v>0</v>
      </c>
      <c r="G17" s="11" t="n">
        <f aca="false">F16*B9</f>
        <v>0</v>
      </c>
      <c r="H17" s="11" t="n">
        <f aca="false">G16*B9</f>
        <v>0</v>
      </c>
      <c r="I17" s="11" t="n">
        <f aca="false">H16*B9</f>
        <v>0</v>
      </c>
      <c r="J17" s="11" t="n">
        <f aca="false">I16*B9</f>
        <v>0</v>
      </c>
      <c r="K17" s="11" t="n">
        <f aca="false">J16*B9</f>
        <v>0</v>
      </c>
      <c r="L17" s="11" t="n">
        <f aca="false">K16*B9</f>
        <v>0</v>
      </c>
      <c r="M17" s="11" t="n">
        <f aca="false">L17*(1+B10/100)/(B6/100-B10/100)</f>
        <v>0</v>
      </c>
    </row>
    <row r="18" customFormat="false" ht="15" hidden="false" customHeight="true" outlineLevel="0" collapsed="false">
      <c r="A18" s="17" t="s">
        <v>265</v>
      </c>
      <c r="C18" s="25" t="n">
        <f aca="false">1/(1+B6/100)^1</f>
        <v>0.900900900900901</v>
      </c>
      <c r="D18" s="25" t="n">
        <f aca="false">1/(1+B6/100)^2</f>
        <v>0.811622433244055</v>
      </c>
      <c r="E18" s="25" t="n">
        <f aca="false">1/(1+B6/100)^3</f>
        <v>0.73119138130095</v>
      </c>
      <c r="F18" s="25" t="n">
        <f aca="false">1/(1+B6/100)^4</f>
        <v>0.658730974145</v>
      </c>
      <c r="G18" s="25" t="n">
        <f aca="false">1/(1+B6/100)^5</f>
        <v>0.593451328058559</v>
      </c>
      <c r="H18" s="25" t="n">
        <f aca="false">1/(1+B6/100)^6</f>
        <v>0.534640836088791</v>
      </c>
      <c r="I18" s="25" t="n">
        <f aca="false">1/(1+B6/100)^7</f>
        <v>0.481658410890803</v>
      </c>
      <c r="J18" s="25" t="n">
        <f aca="false">1/(1+B6/100)^8</f>
        <v>0.433926496298021</v>
      </c>
      <c r="K18" s="25" t="n">
        <f aca="false">1/(1+B6/100)^9</f>
        <v>0.390924771439658</v>
      </c>
      <c r="L18" s="25" t="n">
        <f aca="false">1/(1+B6/100)^10</f>
        <v>0.352184478774467</v>
      </c>
      <c r="M18" s="25" t="n">
        <f aca="false">1/(1+B6/100)^10</f>
        <v>0.352184478774467</v>
      </c>
    </row>
    <row r="19" customFormat="false" ht="15" hidden="false" customHeight="true" outlineLevel="0" collapsed="false">
      <c r="A19" s="17" t="s">
        <v>397</v>
      </c>
      <c r="C19" s="11" t="n">
        <f aca="false">C17*C18</f>
        <v>0</v>
      </c>
      <c r="D19" s="11" t="n">
        <f aca="false">D17*D18</f>
        <v>0</v>
      </c>
      <c r="E19" s="11" t="n">
        <f aca="false">E17*E18</f>
        <v>0</v>
      </c>
      <c r="F19" s="11" t="n">
        <f aca="false">F17*F18</f>
        <v>0</v>
      </c>
      <c r="G19" s="11" t="n">
        <f aca="false">G17*G18</f>
        <v>0</v>
      </c>
      <c r="H19" s="11" t="n">
        <f aca="false">H17*H18</f>
        <v>0</v>
      </c>
      <c r="I19" s="11" t="n">
        <f aca="false">I17*I18</f>
        <v>0</v>
      </c>
      <c r="J19" s="11" t="n">
        <f aca="false">J17*J18</f>
        <v>0</v>
      </c>
      <c r="K19" s="11" t="n">
        <f aca="false">K17*K18</f>
        <v>0</v>
      </c>
      <c r="L19" s="11" t="n">
        <f aca="false">L17*L18</f>
        <v>0</v>
      </c>
      <c r="M19" s="11" t="n">
        <f aca="false">M17*M18</f>
        <v>0</v>
      </c>
    </row>
    <row r="21" customFormat="false" ht="15" hidden="false" customHeight="true" outlineLevel="0" collapsed="false">
      <c r="A21" s="17" t="s">
        <v>317</v>
      </c>
      <c r="B21" s="37" t="n">
        <f aca="false">B4</f>
        <v>0</v>
      </c>
    </row>
    <row r="22" customFormat="false" ht="15" hidden="false" customHeight="true" outlineLevel="0" collapsed="false">
      <c r="A22" s="17" t="s">
        <v>398</v>
      </c>
      <c r="B22" s="37" t="n">
        <f aca="false">SUM(C19:L19)</f>
        <v>0</v>
      </c>
    </row>
    <row r="23" customFormat="false" ht="15" hidden="false" customHeight="true" outlineLevel="0" collapsed="false">
      <c r="A23" s="17" t="s">
        <v>399</v>
      </c>
      <c r="B23" s="37" t="n">
        <f aca="false">M19</f>
        <v>0</v>
      </c>
    </row>
    <row r="24" customFormat="false" ht="15" hidden="false" customHeight="true" outlineLevel="0" collapsed="false">
      <c r="A24" s="44" t="s">
        <v>400</v>
      </c>
      <c r="B24" s="47" t="n">
        <f aca="false">B21+B22+B23</f>
        <v>0</v>
      </c>
    </row>
    <row r="25" customFormat="false" ht="15" hidden="false" customHeight="true" outlineLevel="0" collapsed="false">
      <c r="A25" s="17" t="s">
        <v>273</v>
      </c>
      <c r="B25" s="12" t="str">
        <f aca="false">IF(B24=0,"-",(B24-B12)/B24)</f>
        <v>-</v>
      </c>
    </row>
    <row r="26" customFormat="false" ht="15" hidden="false" customHeight="true" outlineLevel="0" collapsed="false">
      <c r="A26" s="17" t="s">
        <v>274</v>
      </c>
      <c r="B26" s="12" t="str">
        <f aca="false">IF(B12=0,"-",(B24-B12)/B12)</f>
        <v>-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12" min="2" style="1" width="14"/>
  </cols>
  <sheetData>
    <row r="1" customFormat="false" ht="15.75" hidden="false" customHeight="true" outlineLevel="0" collapsed="false">
      <c r="A1" s="10" t="s">
        <v>401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3" customFormat="false" ht="15" hidden="false" customHeight="true" outlineLevel="0" collapsed="false">
      <c r="A3" s="6" t="s">
        <v>402</v>
      </c>
      <c r="B3" s="6"/>
    </row>
    <row r="4" customFormat="false" ht="15" hidden="false" customHeight="true" outlineLevel="0" collapsed="false">
      <c r="A4" s="38" t="s">
        <v>403</v>
      </c>
      <c r="B4" s="5" t="n">
        <v>70</v>
      </c>
      <c r="C4" s="48" t="s">
        <v>404</v>
      </c>
    </row>
    <row r="6" customFormat="false" ht="15" hidden="false" customHeight="true" outlineLevel="0" collapsed="false">
      <c r="A6" s="7" t="s">
        <v>45</v>
      </c>
      <c r="B6" s="7" t="n">
        <f aca="false">'1. Inputs'!B11</f>
        <v>0</v>
      </c>
      <c r="C6" s="7" t="n">
        <f aca="false">'1. Inputs'!C11</f>
        <v>0</v>
      </c>
      <c r="D6" s="7" t="n">
        <f aca="false">'1. Inputs'!D11</f>
        <v>0</v>
      </c>
      <c r="E6" s="7" t="n">
        <f aca="false">'1. Inputs'!E11</f>
        <v>0</v>
      </c>
      <c r="F6" s="7" t="n">
        <f aca="false">'1. Inputs'!F11</f>
        <v>0</v>
      </c>
      <c r="G6" s="7" t="n">
        <f aca="false">'1. Inputs'!G11</f>
        <v>0</v>
      </c>
      <c r="H6" s="7" t="n">
        <f aca="false">'1. Inputs'!H11</f>
        <v>0</v>
      </c>
      <c r="I6" s="7" t="n">
        <f aca="false">'1. Inputs'!I11</f>
        <v>0</v>
      </c>
      <c r="J6" s="7" t="n">
        <f aca="false">'1. Inputs'!J11</f>
        <v>0</v>
      </c>
      <c r="K6" s="7" t="n">
        <f aca="false">'1. Inputs'!K11</f>
        <v>0</v>
      </c>
      <c r="L6" s="7" t="n">
        <f aca="false">'1. Inputs'!L11</f>
        <v>0</v>
      </c>
    </row>
    <row r="7" customFormat="false" ht="15" hidden="false" customHeight="true" outlineLevel="0" collapsed="false">
      <c r="A7" s="9" t="s">
        <v>64</v>
      </c>
      <c r="B7" s="11" t="n">
        <f aca="false">'1. Inputs'!B18</f>
        <v>0</v>
      </c>
      <c r="C7" s="11" t="n">
        <f aca="false">'1. Inputs'!C18</f>
        <v>0</v>
      </c>
      <c r="D7" s="11" t="n">
        <f aca="false">'1. Inputs'!D18</f>
        <v>0</v>
      </c>
      <c r="E7" s="11" t="n">
        <f aca="false">'1. Inputs'!E18</f>
        <v>0</v>
      </c>
      <c r="F7" s="11" t="n">
        <f aca="false">'1. Inputs'!F18</f>
        <v>0</v>
      </c>
      <c r="G7" s="11" t="n">
        <f aca="false">'1. Inputs'!G18</f>
        <v>0</v>
      </c>
      <c r="H7" s="11" t="n">
        <f aca="false">'1. Inputs'!H18</f>
        <v>0</v>
      </c>
      <c r="I7" s="11" t="n">
        <f aca="false">'1. Inputs'!I18</f>
        <v>0</v>
      </c>
      <c r="J7" s="11" t="n">
        <f aca="false">'1. Inputs'!J18</f>
        <v>0</v>
      </c>
      <c r="K7" s="11" t="n">
        <f aca="false">'1. Inputs'!K18</f>
        <v>0</v>
      </c>
      <c r="L7" s="11" t="n">
        <f aca="false">'1. Inputs'!L18</f>
        <v>0</v>
      </c>
    </row>
    <row r="8" customFormat="false" ht="15" hidden="false" customHeight="true" outlineLevel="0" collapsed="false">
      <c r="A8" s="9" t="s">
        <v>405</v>
      </c>
      <c r="B8" s="11" t="n">
        <f aca="false">'1. Inputs'!B14</f>
        <v>0</v>
      </c>
      <c r="C8" s="11" t="n">
        <f aca="false">'1. Inputs'!C14</f>
        <v>0</v>
      </c>
      <c r="D8" s="11" t="n">
        <f aca="false">'1. Inputs'!D14</f>
        <v>0</v>
      </c>
      <c r="E8" s="11" t="n">
        <f aca="false">'1. Inputs'!E14</f>
        <v>0</v>
      </c>
      <c r="F8" s="11" t="n">
        <f aca="false">'1. Inputs'!F14</f>
        <v>0</v>
      </c>
      <c r="G8" s="11" t="n">
        <f aca="false">'1. Inputs'!G14</f>
        <v>0</v>
      </c>
      <c r="H8" s="11" t="n">
        <f aca="false">'1. Inputs'!H14</f>
        <v>0</v>
      </c>
      <c r="I8" s="11" t="n">
        <f aca="false">'1. Inputs'!I14</f>
        <v>0</v>
      </c>
      <c r="J8" s="11" t="n">
        <f aca="false">'1. Inputs'!J14</f>
        <v>0</v>
      </c>
      <c r="K8" s="11" t="n">
        <f aca="false">'1. Inputs'!K14</f>
        <v>0</v>
      </c>
      <c r="L8" s="11" t="n">
        <f aca="false">'1. Inputs'!L14</f>
        <v>0</v>
      </c>
    </row>
    <row r="9" customFormat="false" ht="15" hidden="false" customHeight="true" outlineLevel="0" collapsed="false">
      <c r="A9" s="9" t="s">
        <v>406</v>
      </c>
      <c r="B9" s="11" t="n">
        <f aca="false">'1. Inputs'!B14*$B$4/100</f>
        <v>0</v>
      </c>
      <c r="C9" s="11" t="n">
        <f aca="false">'1. Inputs'!C14*$B$4/100</f>
        <v>0</v>
      </c>
      <c r="D9" s="11" t="n">
        <f aca="false">'1. Inputs'!D14*$B$4/100</f>
        <v>0</v>
      </c>
      <c r="E9" s="11" t="n">
        <f aca="false">'1. Inputs'!E14*$B$4/100</f>
        <v>0</v>
      </c>
      <c r="F9" s="11" t="n">
        <f aca="false">'1. Inputs'!F14*$B$4/100</f>
        <v>0</v>
      </c>
      <c r="G9" s="11" t="n">
        <f aca="false">'1. Inputs'!G14*$B$4/100</f>
        <v>0</v>
      </c>
      <c r="H9" s="11" t="n">
        <f aca="false">'1. Inputs'!H14*$B$4/100</f>
        <v>0</v>
      </c>
      <c r="I9" s="11" t="n">
        <f aca="false">'1. Inputs'!I14*$B$4/100</f>
        <v>0</v>
      </c>
      <c r="J9" s="11" t="n">
        <f aca="false">'1. Inputs'!J14*$B$4/100</f>
        <v>0</v>
      </c>
      <c r="K9" s="11" t="n">
        <f aca="false">'1. Inputs'!K14*$B$4/100</f>
        <v>0</v>
      </c>
      <c r="L9" s="11" t="n">
        <f aca="false">'1. Inputs'!L14*$B$4/100</f>
        <v>0</v>
      </c>
    </row>
    <row r="10" customFormat="false" ht="15" hidden="false" customHeight="true" outlineLevel="0" collapsed="false">
      <c r="A10" s="9" t="s">
        <v>407</v>
      </c>
      <c r="B10" s="11" t="n">
        <f aca="false">'1. Inputs'!B18+'1. Inputs'!B14-'1. Inputs'!B14*$B$4/100</f>
        <v>0</v>
      </c>
      <c r="C10" s="11" t="n">
        <f aca="false">'1. Inputs'!C18+'1. Inputs'!C14-'1. Inputs'!C14*$B$4/100</f>
        <v>0</v>
      </c>
      <c r="D10" s="11" t="n">
        <f aca="false">'1. Inputs'!D18+'1. Inputs'!D14-'1. Inputs'!D14*$B$4/100</f>
        <v>0</v>
      </c>
      <c r="E10" s="11" t="n">
        <f aca="false">'1. Inputs'!E18+'1. Inputs'!E14-'1. Inputs'!E14*$B$4/100</f>
        <v>0</v>
      </c>
      <c r="F10" s="11" t="n">
        <f aca="false">'1. Inputs'!F18+'1. Inputs'!F14-'1. Inputs'!F14*$B$4/100</f>
        <v>0</v>
      </c>
      <c r="G10" s="11" t="n">
        <f aca="false">'1. Inputs'!G18+'1. Inputs'!G14-'1. Inputs'!G14*$B$4/100</f>
        <v>0</v>
      </c>
      <c r="H10" s="11" t="n">
        <f aca="false">'1. Inputs'!H18+'1. Inputs'!H14-'1. Inputs'!H14*$B$4/100</f>
        <v>0</v>
      </c>
      <c r="I10" s="11" t="n">
        <f aca="false">'1. Inputs'!I18+'1. Inputs'!I14-'1. Inputs'!I14*$B$4/100</f>
        <v>0</v>
      </c>
      <c r="J10" s="11" t="n">
        <f aca="false">'1. Inputs'!J18+'1. Inputs'!J14-'1. Inputs'!J14*$B$4/100</f>
        <v>0</v>
      </c>
      <c r="K10" s="11" t="n">
        <f aca="false">'1. Inputs'!K18+'1. Inputs'!K14-'1. Inputs'!K14*$B$4/100</f>
        <v>0</v>
      </c>
      <c r="L10" s="11" t="n">
        <f aca="false">'1. Inputs'!L18+'1. Inputs'!L14-'1. Inputs'!L14*$B$4/100</f>
        <v>0</v>
      </c>
    </row>
    <row r="11" customFormat="false" ht="15" hidden="false" customHeight="true" outlineLevel="0" collapsed="false">
      <c r="A11" s="9" t="s">
        <v>408</v>
      </c>
      <c r="B11" s="11" t="str">
        <f aca="false">IF('1. Inputs'!$B$5=0,"-",B10/'1. Inputs'!$B$5)</f>
        <v>-</v>
      </c>
      <c r="C11" s="11" t="str">
        <f aca="false">IF('1. Inputs'!$B$5=0,"-",C10/'1. Inputs'!$B$5)</f>
        <v>-</v>
      </c>
      <c r="D11" s="11" t="str">
        <f aca="false">IF('1. Inputs'!$B$5=0,"-",D10/'1. Inputs'!$B$5)</f>
        <v>-</v>
      </c>
      <c r="E11" s="11" t="str">
        <f aca="false">IF('1. Inputs'!$B$5=0,"-",E10/'1. Inputs'!$B$5)</f>
        <v>-</v>
      </c>
      <c r="F11" s="11" t="str">
        <f aca="false">IF('1. Inputs'!$B$5=0,"-",F10/'1. Inputs'!$B$5)</f>
        <v>-</v>
      </c>
      <c r="G11" s="11" t="str">
        <f aca="false">IF('1. Inputs'!$B$5=0,"-",G10/'1. Inputs'!$B$5)</f>
        <v>-</v>
      </c>
      <c r="H11" s="11" t="str">
        <f aca="false">IF('1. Inputs'!$B$5=0,"-",H10/'1. Inputs'!$B$5)</f>
        <v>-</v>
      </c>
      <c r="I11" s="11" t="str">
        <f aca="false">IF('1. Inputs'!$B$5=0,"-",I10/'1. Inputs'!$B$5)</f>
        <v>-</v>
      </c>
      <c r="J11" s="11" t="str">
        <f aca="false">IF('1. Inputs'!$B$5=0,"-",J10/'1. Inputs'!$B$5)</f>
        <v>-</v>
      </c>
      <c r="K11" s="11" t="str">
        <f aca="false">IF('1. Inputs'!$B$5=0,"-",K10/'1. Inputs'!$B$5)</f>
        <v>-</v>
      </c>
      <c r="L11" s="11" t="str">
        <f aca="false">IF('1. Inputs'!$B$5=0,"-",L10/'1. Inputs'!$B$5)</f>
        <v>-</v>
      </c>
    </row>
    <row r="12" customFormat="false" ht="15" hidden="false" customHeight="true" outlineLevel="0" collapsed="false">
      <c r="A12" s="9" t="s">
        <v>409</v>
      </c>
      <c r="B12" s="12" t="s">
        <v>124</v>
      </c>
      <c r="C12" s="12" t="str">
        <f aca="false">IF(B10=0,"-",(C10-B10)/ABS(B10))</f>
        <v>-</v>
      </c>
      <c r="D12" s="12" t="str">
        <f aca="false">IF(C10=0,"-",(D10-C10)/ABS(C10))</f>
        <v>-</v>
      </c>
      <c r="E12" s="12" t="str">
        <f aca="false">IF(D10=0,"-",(E10-D10)/ABS(D10))</f>
        <v>-</v>
      </c>
      <c r="F12" s="12" t="str">
        <f aca="false">IF(E10=0,"-",(F10-E10)/ABS(E10))</f>
        <v>-</v>
      </c>
      <c r="G12" s="12" t="str">
        <f aca="false">IF(F10=0,"-",(G10-F10)/ABS(F10))</f>
        <v>-</v>
      </c>
      <c r="H12" s="12" t="str">
        <f aca="false">IF(G10=0,"-",(H10-G10)/ABS(G10))</f>
        <v>-</v>
      </c>
      <c r="I12" s="12" t="str">
        <f aca="false">IF(H10=0,"-",(I10-H10)/ABS(H10))</f>
        <v>-</v>
      </c>
      <c r="J12" s="12" t="str">
        <f aca="false">IF(I10=0,"-",(J10-I10)/ABS(I10))</f>
        <v>-</v>
      </c>
      <c r="K12" s="12" t="str">
        <f aca="false">IF(J10=0,"-",(K10-J10)/ABS(J10))</f>
        <v>-</v>
      </c>
      <c r="L12" s="12" t="str">
        <f aca="false">IF(K10=0,"-",(L10-K10)/ABS(K10))</f>
        <v>-</v>
      </c>
    </row>
    <row r="13" customFormat="false" ht="15" hidden="false" customHeight="true" outlineLevel="0" collapsed="false">
      <c r="A13" s="9" t="s">
        <v>410</v>
      </c>
      <c r="B13" s="19" t="str">
        <f aca="false">IFERROR('1. Inputs'!$B$4/B11,"-")</f>
        <v>-</v>
      </c>
      <c r="C13" s="19" t="str">
        <f aca="false">IFERROR('1. Inputs'!$B$4/C11,"-")</f>
        <v>-</v>
      </c>
      <c r="D13" s="19" t="str">
        <f aca="false">IFERROR('1. Inputs'!$B$4/D11,"-")</f>
        <v>-</v>
      </c>
      <c r="E13" s="19" t="str">
        <f aca="false">IFERROR('1. Inputs'!$B$4/E11,"-")</f>
        <v>-</v>
      </c>
      <c r="F13" s="19" t="str">
        <f aca="false">IFERROR('1. Inputs'!$B$4/F11,"-")</f>
        <v>-</v>
      </c>
      <c r="G13" s="19" t="str">
        <f aca="false">IFERROR('1. Inputs'!$B$4/G11,"-")</f>
        <v>-</v>
      </c>
      <c r="H13" s="19" t="str">
        <f aca="false">IFERROR('1. Inputs'!$B$4/H11,"-")</f>
        <v>-</v>
      </c>
      <c r="I13" s="19" t="str">
        <f aca="false">IFERROR('1. Inputs'!$B$4/I11,"-")</f>
        <v>-</v>
      </c>
      <c r="J13" s="19" t="str">
        <f aca="false">IFERROR('1. Inputs'!$B$4/J11,"-")</f>
        <v>-</v>
      </c>
      <c r="K13" s="19" t="str">
        <f aca="false">IFERROR('1. Inputs'!$B$4/K11,"-")</f>
        <v>-</v>
      </c>
      <c r="L13" s="19" t="str">
        <f aca="false">IFERROR('1. Inputs'!$B$4/L11,"-")</f>
        <v>-</v>
      </c>
    </row>
    <row r="14" customFormat="false" ht="15" hidden="false" customHeight="true" outlineLevel="0" collapsed="false">
      <c r="A14" s="9" t="s">
        <v>411</v>
      </c>
    </row>
    <row r="15" customFormat="false" ht="15" hidden="false" customHeight="true" outlineLevel="0" collapsed="false">
      <c r="A15" s="9" t="s">
        <v>412</v>
      </c>
      <c r="B15" s="11" t="n">
        <f aca="false">'1. Inputs'!B55</f>
        <v>0</v>
      </c>
      <c r="C15" s="11" t="n">
        <f aca="false">'1. Inputs'!C55</f>
        <v>0</v>
      </c>
      <c r="D15" s="11" t="n">
        <f aca="false">'1. Inputs'!D55</f>
        <v>0</v>
      </c>
      <c r="E15" s="11" t="n">
        <f aca="false">'1. Inputs'!E55</f>
        <v>0</v>
      </c>
      <c r="F15" s="11" t="n">
        <f aca="false">'1. Inputs'!F55</f>
        <v>0</v>
      </c>
      <c r="G15" s="11" t="n">
        <f aca="false">'1. Inputs'!G55</f>
        <v>0</v>
      </c>
      <c r="H15" s="11" t="n">
        <f aca="false">'1. Inputs'!H55</f>
        <v>0</v>
      </c>
      <c r="I15" s="11" t="n">
        <f aca="false">'1. Inputs'!I55</f>
        <v>0</v>
      </c>
      <c r="J15" s="11" t="n">
        <f aca="false">'1. Inputs'!J55</f>
        <v>0</v>
      </c>
      <c r="K15" s="11" t="n">
        <f aca="false">'1. Inputs'!K55</f>
        <v>0</v>
      </c>
      <c r="L15" s="11" t="n">
        <f aca="false">'1. Inputs'!L55</f>
        <v>0</v>
      </c>
    </row>
    <row r="16" customFormat="false" ht="15" hidden="false" customHeight="true" outlineLevel="0" collapsed="false">
      <c r="A16" s="9" t="s">
        <v>179</v>
      </c>
      <c r="B16" s="12" t="str">
        <f aca="false">IF(OR('1. Inputs'!B12=0),"-",ABS('1. Inputs'!B55)/'1. Inputs'!B12)</f>
        <v>-</v>
      </c>
      <c r="C16" s="12" t="str">
        <f aca="false">IF(OR('1. Inputs'!C12=0),"-",ABS('1. Inputs'!C55)/'1. Inputs'!C12)</f>
        <v>-</v>
      </c>
      <c r="D16" s="12" t="str">
        <f aca="false">IF(OR('1. Inputs'!D12=0),"-",ABS('1. Inputs'!D55)/'1. Inputs'!D12)</f>
        <v>-</v>
      </c>
      <c r="E16" s="12" t="str">
        <f aca="false">IF(OR('1. Inputs'!E12=0),"-",ABS('1. Inputs'!E55)/'1. Inputs'!E12)</f>
        <v>-</v>
      </c>
      <c r="F16" s="12" t="str">
        <f aca="false">IF(OR('1. Inputs'!F12=0),"-",ABS('1. Inputs'!F55)/'1. Inputs'!F12)</f>
        <v>-</v>
      </c>
      <c r="G16" s="12" t="str">
        <f aca="false">IF(OR('1. Inputs'!G12=0),"-",ABS('1. Inputs'!G55)/'1. Inputs'!G12)</f>
        <v>-</v>
      </c>
      <c r="H16" s="12" t="str">
        <f aca="false">IF(OR('1. Inputs'!H12=0),"-",ABS('1. Inputs'!H55)/'1. Inputs'!H12)</f>
        <v>-</v>
      </c>
      <c r="I16" s="12" t="str">
        <f aca="false">IF(OR('1. Inputs'!I12=0),"-",ABS('1. Inputs'!I55)/'1. Inputs'!I12)</f>
        <v>-</v>
      </c>
      <c r="J16" s="12" t="str">
        <f aca="false">IF(OR('1. Inputs'!J12=0),"-",ABS('1. Inputs'!J55)/'1. Inputs'!J12)</f>
        <v>-</v>
      </c>
      <c r="K16" s="12" t="str">
        <f aca="false">IF(OR('1. Inputs'!K12=0),"-",ABS('1. Inputs'!K55)/'1. Inputs'!K12)</f>
        <v>-</v>
      </c>
      <c r="L16" s="12" t="str">
        <f aca="false">IF(OR('1. Inputs'!L12=0),"-",ABS('1. Inputs'!L55)/'1. Inputs'!L12)</f>
        <v>-</v>
      </c>
    </row>
    <row r="17" customFormat="false" ht="15" hidden="false" customHeight="true" outlineLevel="0" collapsed="false">
      <c r="A17" s="9" t="s">
        <v>157</v>
      </c>
      <c r="B17" s="11" t="n">
        <f aca="false">'1. Inputs'!B58</f>
        <v>0</v>
      </c>
      <c r="C17" s="11" t="n">
        <f aca="false">'1. Inputs'!C58</f>
        <v>0</v>
      </c>
      <c r="D17" s="11" t="n">
        <f aca="false">'1. Inputs'!D58</f>
        <v>0</v>
      </c>
      <c r="E17" s="11" t="n">
        <f aca="false">'1. Inputs'!E58</f>
        <v>0</v>
      </c>
      <c r="F17" s="11" t="n">
        <f aca="false">'1. Inputs'!F58</f>
        <v>0</v>
      </c>
      <c r="G17" s="11" t="n">
        <f aca="false">'1. Inputs'!G58</f>
        <v>0</v>
      </c>
      <c r="H17" s="11" t="n">
        <f aca="false">'1. Inputs'!H58</f>
        <v>0</v>
      </c>
      <c r="I17" s="11" t="n">
        <f aca="false">'1. Inputs'!I58</f>
        <v>0</v>
      </c>
      <c r="J17" s="11" t="n">
        <f aca="false">'1. Inputs'!J58</f>
        <v>0</v>
      </c>
      <c r="K17" s="11" t="n">
        <f aca="false">'1. Inputs'!K58</f>
        <v>0</v>
      </c>
      <c r="L17" s="11" t="n">
        <f aca="false">'1. Inputs'!L58</f>
        <v>0</v>
      </c>
    </row>
    <row r="18" customFormat="false" ht="15" hidden="false" customHeight="true" outlineLevel="0" collapsed="false">
      <c r="A18" s="9" t="s">
        <v>413</v>
      </c>
      <c r="B18" s="12" t="str">
        <f aca="false">IF(OR('1. Inputs'!B12=0),"-",'1. Inputs'!B58/'1. Inputs'!B12)</f>
        <v>-</v>
      </c>
      <c r="C18" s="12" t="str">
        <f aca="false">IF(OR('1. Inputs'!C12=0),"-",'1. Inputs'!C58/'1. Inputs'!C12)</f>
        <v>-</v>
      </c>
      <c r="D18" s="12" t="str">
        <f aca="false">IF(OR('1. Inputs'!D12=0),"-",'1. Inputs'!D58/'1. Inputs'!D12)</f>
        <v>-</v>
      </c>
      <c r="E18" s="12" t="str">
        <f aca="false">IF(OR('1. Inputs'!E12=0),"-",'1. Inputs'!E58/'1. Inputs'!E12)</f>
        <v>-</v>
      </c>
      <c r="F18" s="12" t="str">
        <f aca="false">IF(OR('1. Inputs'!F12=0),"-",'1. Inputs'!F58/'1. Inputs'!F12)</f>
        <v>-</v>
      </c>
      <c r="G18" s="12" t="str">
        <f aca="false">IF(OR('1. Inputs'!G12=0),"-",'1. Inputs'!G58/'1. Inputs'!G12)</f>
        <v>-</v>
      </c>
      <c r="H18" s="12" t="str">
        <f aca="false">IF(OR('1. Inputs'!H12=0),"-",'1. Inputs'!H58/'1. Inputs'!H12)</f>
        <v>-</v>
      </c>
      <c r="I18" s="12" t="str">
        <f aca="false">IF(OR('1. Inputs'!I12=0),"-",'1. Inputs'!I58/'1. Inputs'!I12)</f>
        <v>-</v>
      </c>
      <c r="J18" s="12" t="str">
        <f aca="false">IF(OR('1. Inputs'!J12=0),"-",'1. Inputs'!J58/'1. Inputs'!J12)</f>
        <v>-</v>
      </c>
      <c r="K18" s="12" t="str">
        <f aca="false">IF(OR('1. Inputs'!K12=0),"-",'1. Inputs'!K58/'1. Inputs'!K12)</f>
        <v>-</v>
      </c>
      <c r="L18" s="12" t="str">
        <f aca="false">IF(OR('1. Inputs'!L12=0),"-",'1. Inputs'!L58/'1. Inputs'!L12)</f>
        <v>-</v>
      </c>
    </row>
    <row r="19" customFormat="false" ht="15" hidden="false" customHeight="true" outlineLevel="0" collapsed="false">
      <c r="A19" s="9" t="s">
        <v>158</v>
      </c>
      <c r="B19" s="12" t="str">
        <f aca="false">IF(OR('1. Inputs'!B18=0),"-",'1. Inputs'!B58/'1. Inputs'!B18)</f>
        <v>-</v>
      </c>
      <c r="C19" s="12" t="str">
        <f aca="false">IF(OR('1. Inputs'!C18=0),"-",'1. Inputs'!C58/'1. Inputs'!C18)</f>
        <v>-</v>
      </c>
      <c r="D19" s="12" t="str">
        <f aca="false">IF(OR('1. Inputs'!D18=0),"-",'1. Inputs'!D58/'1. Inputs'!D18)</f>
        <v>-</v>
      </c>
      <c r="E19" s="12" t="str">
        <f aca="false">IF(OR('1. Inputs'!E18=0),"-",'1. Inputs'!E58/'1. Inputs'!E18)</f>
        <v>-</v>
      </c>
      <c r="F19" s="12" t="str">
        <f aca="false">IF(OR('1. Inputs'!F18=0),"-",'1. Inputs'!F58/'1. Inputs'!F18)</f>
        <v>-</v>
      </c>
      <c r="G19" s="12" t="str">
        <f aca="false">IF(OR('1. Inputs'!G18=0),"-",'1. Inputs'!G58/'1. Inputs'!G18)</f>
        <v>-</v>
      </c>
      <c r="H19" s="12" t="str">
        <f aca="false">IF(OR('1. Inputs'!H18=0),"-",'1. Inputs'!H58/'1. Inputs'!H18)</f>
        <v>-</v>
      </c>
      <c r="I19" s="12" t="str">
        <f aca="false">IF(OR('1. Inputs'!I18=0),"-",'1. Inputs'!I58/'1. Inputs'!I18)</f>
        <v>-</v>
      </c>
      <c r="J19" s="12" t="str">
        <f aca="false">IF(OR('1. Inputs'!J18=0),"-",'1. Inputs'!J58/'1. Inputs'!J18)</f>
        <v>-</v>
      </c>
      <c r="K19" s="12" t="str">
        <f aca="false">IF(OR('1. Inputs'!K18=0),"-",'1. Inputs'!K58/'1. Inputs'!K18)</f>
        <v>-</v>
      </c>
      <c r="L19" s="12" t="str">
        <f aca="false">IF(OR('1. Inputs'!L18=0),"-",'1. Inputs'!L58/'1. Inputs'!L18)</f>
        <v>-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5"/>
    <col collapsed="false" customWidth="true" hidden="false" outlineLevel="0" max="3" min="3" style="1" width="45"/>
  </cols>
  <sheetData>
    <row r="1" customFormat="false" ht="15.75" hidden="false" customHeight="true" outlineLevel="0" collapsed="false">
      <c r="A1" s="10" t="s">
        <v>414</v>
      </c>
      <c r="B1" s="10"/>
      <c r="C1" s="10"/>
    </row>
    <row r="3" customFormat="false" ht="15" hidden="false" customHeight="true" outlineLevel="0" collapsed="false">
      <c r="A3" s="6" t="s">
        <v>415</v>
      </c>
      <c r="B3" s="6" t="s">
        <v>416</v>
      </c>
      <c r="C3" s="6" t="s">
        <v>417</v>
      </c>
    </row>
    <row r="4" customFormat="false" ht="15" hidden="false" customHeight="true" outlineLevel="0" collapsed="false">
      <c r="A4" s="17" t="s">
        <v>418</v>
      </c>
      <c r="B4" s="49"/>
      <c r="C4" s="5"/>
    </row>
    <row r="5" customFormat="false" ht="15" hidden="false" customHeight="true" outlineLevel="0" collapsed="false">
      <c r="A5" s="17" t="s">
        <v>419</v>
      </c>
      <c r="B5" s="49"/>
      <c r="C5" s="5"/>
    </row>
    <row r="6" customFormat="false" ht="15" hidden="false" customHeight="true" outlineLevel="0" collapsed="false">
      <c r="A6" s="17" t="s">
        <v>420</v>
      </c>
      <c r="B6" s="49"/>
      <c r="C6" s="5"/>
    </row>
    <row r="7" customFormat="false" ht="15" hidden="false" customHeight="true" outlineLevel="0" collapsed="false">
      <c r="A7" s="17" t="s">
        <v>421</v>
      </c>
      <c r="B7" s="49"/>
      <c r="C7" s="5"/>
    </row>
    <row r="8" customFormat="false" ht="15" hidden="false" customHeight="true" outlineLevel="0" collapsed="false">
      <c r="A8" s="17" t="s">
        <v>422</v>
      </c>
      <c r="B8" s="49"/>
      <c r="C8" s="5"/>
    </row>
    <row r="9" customFormat="false" ht="15" hidden="false" customHeight="true" outlineLevel="0" collapsed="false">
      <c r="A9" s="17" t="s">
        <v>423</v>
      </c>
      <c r="B9" s="49"/>
      <c r="C9" s="5"/>
    </row>
    <row r="10" customFormat="false" ht="15" hidden="false" customHeight="true" outlineLevel="0" collapsed="false">
      <c r="A10" s="17" t="s">
        <v>424</v>
      </c>
      <c r="B10" s="49"/>
      <c r="C10" s="5"/>
    </row>
    <row r="11" customFormat="false" ht="15" hidden="false" customHeight="true" outlineLevel="0" collapsed="false">
      <c r="A11" s="17" t="s">
        <v>425</v>
      </c>
      <c r="B11" s="49"/>
      <c r="C11" s="5"/>
    </row>
    <row r="12" customFormat="false" ht="15" hidden="false" customHeight="true" outlineLevel="0" collapsed="false">
      <c r="A12" s="17" t="s">
        <v>426</v>
      </c>
      <c r="B12" s="49"/>
      <c r="C12" s="5"/>
    </row>
    <row r="13" customFormat="false" ht="15" hidden="false" customHeight="true" outlineLevel="0" collapsed="false">
      <c r="A13" s="17" t="s">
        <v>427</v>
      </c>
      <c r="B13" s="49"/>
      <c r="C13" s="5"/>
    </row>
    <row r="15" customFormat="false" ht="15" hidden="false" customHeight="true" outlineLevel="0" collapsed="false">
      <c r="A15" s="44" t="s">
        <v>428</v>
      </c>
      <c r="B15" s="50" t="str">
        <f aca="false">IFERROR(AVERAGE(B4:B13),"-")</f>
        <v>-</v>
      </c>
    </row>
    <row r="16" customFormat="false" ht="15" hidden="false" customHeight="true" outlineLevel="0" collapsed="false">
      <c r="A16" s="44" t="s">
        <v>429</v>
      </c>
      <c r="B16" s="51" t="str">
        <f aca="false">IF(OR(B15="-",B15=0),"-",IF(B15&gt;=8,"STRONG BUY",IF(B15&gt;=6.5,"BUY",IF(B15&gt;=5,"HOLD",IF(B15&gt;=3.5,"AVOID","SELL")))))</f>
        <v>-</v>
      </c>
    </row>
    <row r="18" customFormat="false" ht="15" hidden="false" customHeight="true" outlineLevel="0" collapsed="false">
      <c r="A18" s="2" t="s">
        <v>430</v>
      </c>
    </row>
    <row r="19" customFormat="false" ht="15" hidden="false" customHeight="true" outlineLevel="0" collapsed="false">
      <c r="A19" s="3" t="s">
        <v>431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2026-04-09T08:02:30Z</dcterms:created>
  <dc:creator>openpyxl</dc:creator>
  <dc:description/>
  <dc:language>en-US</dc:language>
  <cp:lastModifiedBy/>
  <dcterms:modified xsi:type="dcterms:W3CDTF">2026-06-13T09:30:25Z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