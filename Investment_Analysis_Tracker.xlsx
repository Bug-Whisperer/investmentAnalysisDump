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gend &amp; Instructions" sheetId="1" r:id="rId1"/>
    <sheet name="All Companies" sheetId="2" r:id="rId2"/>
    <sheet name="Deep Value - Strong Buy" sheetId="3" r:id="rId3"/>
    <sheet name="Value - Buy" sheetId="4" r:id="rId4"/>
    <sheet name="Fair Value - Hold" sheetId="5" r:id="rId5"/>
    <sheet name="Fully Valued - Trim" sheetId="6" r:id="rId6"/>
    <sheet name="Overvalued - Sell" sheetId="7" r:id="rId7"/>
    <sheet name="Weak Business" sheetId="8" r:id="rId8"/>
    <sheet name="Summary Stats" sheetId="9" r:id="rId9"/>
  </sheets>
  <definedNames>
    <definedName name="_xlnm._FilterDatabase" localSheetId="1" hidden="1">'All Companies'!$A$2:$P$91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<sst xmlns="http://schemas.openxmlformats.org/spreadsheetml/2006/main" count="768" uniqueCount="419">
  <si>
    <t>Investment Analysis Tracker</t>
  </si>
  <si>
    <t>Buffett-Style Valuation Zone Dashboard</t>
  </si>
  <si>
    <t>VALUATION ZONE COLOR LEGEND</t>
  </si>
  <si>
    <t>Deep Value / Strong Buy</t>
  </si>
  <si>
    <t>Price is significantly below conservative intrinsic value. Maximum margin of safety. Fat pitch.</t>
  </si>
  <si>
    <t>Value / Buy</t>
  </si>
  <si>
    <t>Price is below fair value with adequate margin of safety. Good entry point for long-term investors.</t>
  </si>
  <si>
    <t>Fair Value / Hold</t>
  </si>
  <si>
    <t>Price is around intrinsic value. Hold if owned, don't initiate new positions. No margin of safety.</t>
  </si>
  <si>
    <t>Fully Valued / Trim</t>
  </si>
  <si>
    <t>Price exceeds base-case intrinsic value. Consider trimming. Downside risk exceeds upside.</t>
  </si>
  <si>
    <t>Overvalued / Sell</t>
  </si>
  <si>
    <t>Price is significantly above all intrinsic value estimates. Sell or avoid. Negative returns likely.</t>
  </si>
  <si>
    <t>Weak Business / Never Buy</t>
  </si>
  <si>
    <t>Fundamentally broken business. No price is cheap enough. Fails core Buffett quality criteria.</t>
  </si>
  <si>
    <t>HOW TO USE THIS WORKBOOK</t>
  </si>
  <si>
    <t>Step 1: Enter Current Prices</t>
  </si>
  <si>
    <t>Go to 'All Companies' sheet. Enter today's stock price in the 'Current Price' column (F). Zone + colors update automatically.</t>
  </si>
  <si>
    <t>Step 2: Excel Stocks (Optional)</t>
  </si>
  <si>
    <t>Select ticker cells (col C) &gt; Data tab &gt; Stocks. Excel links to live data. Then use =C3.Price in col F for auto prices.</t>
  </si>
  <si>
    <t>Step 3: Read Zone Colors</t>
  </si>
  <si>
    <t>Entire rows auto-color based on which valuation zone the current price falls in. Green = buy, Red = avoid.</t>
  </si>
  <si>
    <t>Step 4: Category Sheets</t>
  </si>
  <si>
    <t>Each zone has its own sheet with a FILTER formula. Companies auto-appear/disappear as their zone changes with price.</t>
  </si>
  <si>
    <t>Step 5: Add New Companies</t>
  </si>
  <si>
    <t>Add rows at the bottom of 'All Companies'. Fill zone boundaries. Update FILTER range in category sheets if needed.</t>
  </si>
  <si>
    <t>IMPORTANT NOTES</t>
  </si>
  <si>
    <t xml:space="preserve">  All intrinsic values are estimates based on Buffett-style analysis. They are NOT price targets.</t>
  </si>
  <si>
    <t xml:space="preserve">  Zone boundaries are derived from DCF, relative valuation, and margin-of-safety frameworks.</t>
  </si>
  <si>
    <t xml:space="preserve">  Quality Score reflects business quality (moat, management, financials) - NOT valuation attractiveness.</t>
  </si>
  <si>
    <t xml:space="preserve">  A high quality score + Deep Value zone = highest conviction opportunity.</t>
  </si>
  <si>
    <t xml:space="preserve">  Prices and valuations are from the date of analysis. Re-evaluate if fundamentals change materially.</t>
  </si>
  <si>
    <t xml:space="preserve">  This is NOT financial advice. Do your own due diligence before investing.</t>
  </si>
  <si>
    <t>Investment Analysis Tracker - Buffett Valuation Zones</t>
  </si>
  <si>
    <t>Sr.</t>
  </si>
  <si>
    <t>Company Name</t>
  </si>
  <si>
    <t>Ticker</t>
  </si>
  <si>
    <t>Exchange</t>
  </si>
  <si>
    <t>Quality</t>
  </si>
  <si>
    <t>Current Price (Rs)</t>
  </si>
  <si>
    <t>Deep Value
Below (Rs)</t>
  </si>
  <si>
    <t>Value/Buy
Up To (Rs)</t>
  </si>
  <si>
    <t>Fair Value
Up To (Rs)</t>
  </si>
  <si>
    <t>Overvalued
Above (Rs)</t>
  </si>
  <si>
    <t>Conservative
IV (Rs)</t>
  </si>
  <si>
    <t>Base Case
IV (Rs)</t>
  </si>
  <si>
    <t>Optimistic
IV (Rs)</t>
  </si>
  <si>
    <t>Current Zone</t>
  </si>
  <si>
    <t>Upside to
Base IV (%)</t>
  </si>
  <si>
    <t>Key Notes</t>
  </si>
  <si>
    <t>Adcounty Media India</t>
  </si>
  <si>
    <t>544435</t>
  </si>
  <si>
    <t>BSE</t>
  </si>
  <si>
    <t>7/10</t>
  </si>
  <si>
    <t>Asset-light AdTech; 30%+ revenue CAGR. RISK: debtor days 69-161, weak moat</t>
  </si>
  <si>
    <t>Advani Hotels &amp; Resorts</t>
  </si>
  <si>
    <t>ADVANIHOTR</t>
  </si>
  <si>
    <t>NSE</t>
  </si>
  <si>
    <t>5/10</t>
  </si>
  <si>
    <t>Single 5-star Goa asset; 34% ROE but zero growth runway</t>
  </si>
  <si>
    <t>Ambuja Cements</t>
  </si>
  <si>
    <t>AMBUJACEM</t>
  </si>
  <si>
    <t>6/10</t>
  </si>
  <si>
    <t>3rd largest cement; 100+ MTPA. Commodity business, Adani-backed</t>
  </si>
  <si>
    <t>APL Apollo Tubes</t>
  </si>
  <si>
    <t>APLAPOLLO</t>
  </si>
  <si>
    <t>7.5/10</t>
  </si>
  <si>
    <t>50% market share steel tubes; 22%+ ROCE. Fortress balance sheet</t>
  </si>
  <si>
    <t>Apollo Tyres</t>
  </si>
  <si>
    <t>APOLLOTYRE</t>
  </si>
  <si>
    <t>3.5/10</t>
  </si>
  <si>
    <t>Mediocre ROE 9-10%; commodity business; deteriorating cash conversion</t>
  </si>
  <si>
    <t>Arrow Greentech</t>
  </si>
  <si>
    <t>ARROWGREEN</t>
  </si>
  <si>
    <t>6.8/10</t>
  </si>
  <si>
    <t>India's largest water-soluble film maker; 50%+ ROIC, zero debt. Volatile earnings</t>
  </si>
  <si>
    <t>AU Small Finance Bank</t>
  </si>
  <si>
    <t>AUBANK</t>
  </si>
  <si>
    <t>4.5/6</t>
  </si>
  <si>
    <t>Superior NIM 5.5-6%; first SFB to get universal bank license. Overpriced</t>
  </si>
  <si>
    <t>Avenue Supermarts (DMart)</t>
  </si>
  <si>
    <t>DMART</t>
  </si>
  <si>
    <t>8/10</t>
  </si>
  <si>
    <t>Lowest-cost retailer; 13.4% ROE, debt-free. Founder 74.65% ownership</t>
  </si>
  <si>
    <t>Axis Bank</t>
  </si>
  <si>
    <t>AXISBANK</t>
  </si>
  <si>
    <t>6/6</t>
  </si>
  <si>
    <t>True Buffett Bank; 16% ROE, #1 merchant acquiring (19.7% share)</t>
  </si>
  <si>
    <t>Bandhan Bank</t>
  </si>
  <si>
    <t>BANDHANBNK</t>
  </si>
  <si>
    <t>3/6</t>
  </si>
  <si>
    <t>Contrarian only; near book value. Weak moat, management transition</t>
  </si>
  <si>
    <t>Bank of Baroda</t>
  </si>
  <si>
    <t>BANKBARODA</t>
  </si>
  <si>
    <t>4/6</t>
  </si>
  <si>
    <t>GNPA improved 9.4% to 2.04%; 15.6% ROE at 0.91x P/B. PSU governance risk</t>
  </si>
  <si>
    <t>Bank of India</t>
  </si>
  <si>
    <t>BANKINDIA</t>
  </si>
  <si>
    <t>Fair company at fair price; ROA &lt;1%, NIM compressing. PSB constraints</t>
  </si>
  <si>
    <t>Bharat Electronics</t>
  </si>
  <si>
    <t>BEL</t>
  </si>
  <si>
    <t>9.5/10</t>
  </si>
  <si>
    <t>Govt monopoly defence electronics; 39% ROCE, debt-free. Rs73,450 Cr order book</t>
  </si>
  <si>
    <t>Bharti Airtel</t>
  </si>
  <si>
    <t>BHARTIARTL</t>
  </si>
  <si>
    <t>7.6/10</t>
  </si>
  <si>
    <t>Telecom oligopoly toll-bridge; 57% operating margins, 65% profit CAGR</t>
  </si>
  <si>
    <t>Groww (Billionbrains)</t>
  </si>
  <si>
    <t>GROWW</t>
  </si>
  <si>
    <t>6.5/10</t>
  </si>
  <si>
    <t>62% EBITDA margins, 50% ROE. RISK: 53% revenue from derivatives (SEBI crackdown)</t>
  </si>
  <si>
    <t>Canara Bank</t>
  </si>
  <si>
    <t>CANBK</t>
  </si>
  <si>
    <t>Best-in-class PSB asset quality; GNPA 2.08%, 18% ROE. Weak CASA 29.5%</t>
  </si>
  <si>
    <t>Caplin Point Laboratories</t>
  </si>
  <si>
    <t>CAPLIPOINT</t>
  </si>
  <si>
    <t>8.3/10</t>
  </si>
  <si>
    <t>Elite pharma compounder; 23% ROE, 26% ROCE, zero debt, Rs600 Cr net cash</t>
  </si>
  <si>
    <t>Castrol India</t>
  </si>
  <si>
    <t>CASTROLIND</t>
  </si>
  <si>
    <t>60% ROCE, 5% div yield, zero debt cash cow. EV transition risk long-term</t>
  </si>
  <si>
    <t>CEAT Ltd</t>
  </si>
  <si>
    <t>CEATLTD</t>
  </si>
  <si>
    <t>4.7/10</t>
  </si>
  <si>
    <t>Mediocre tyre business; commodity-dependent, capital-intensive</t>
  </si>
  <si>
    <t>Coal India</t>
  </si>
  <si>
    <t>COALINDIA</t>
  </si>
  <si>
    <t>8.5/10</t>
  </si>
  <si>
    <t>World's largest coal producer; 38% ROE, 5.8% div yield. Energy transition risk post-2035</t>
  </si>
  <si>
    <t>Colgate-Palmolive India</t>
  </si>
  <si>
    <t>COLPAL</t>
  </si>
  <si>
    <t>5/6</t>
  </si>
  <si>
    <t>80%+ ROE, 89-yr franchise, zero debt. Market share eroding 58% to 43%</t>
  </si>
  <si>
    <t>CRISIL</t>
  </si>
  <si>
    <t>Regulatory toll bridge; 50%+ margins, S&amp;P Global 66.64% parent. Steady 10-13% growth</t>
  </si>
  <si>
    <t>Cupid Ltd</t>
  </si>
  <si>
    <t>CUPID</t>
  </si>
  <si>
    <t>1/10</t>
  </si>
  <si>
    <t>Weak Business</t>
  </si>
  <si>
    <t>WEAK BUSINESS: 123x PE, negative OCF, tender-dependent. Fails all Buffett criteria</t>
  </si>
  <si>
    <t>Dabur India</t>
  </si>
  <si>
    <t>DABUR</t>
  </si>
  <si>
    <t>2/10</t>
  </si>
  <si>
    <t>140-yr heritage but stagnating; 45x PE for 4% growth. Declining ROE</t>
  </si>
  <si>
    <t>Data Patterns India</t>
  </si>
  <si>
    <t>DATAPATTNS</t>
  </si>
  <si>
    <t>Leading defence electronics; 30-35% revenue CAGR. RISK: negative OCF, 618-day CCC</t>
  </si>
  <si>
    <t>Energy Infrastructure Trust</t>
  </si>
  <si>
    <t>542543</t>
  </si>
  <si>
    <t>AAA-rated monopoly gas pipeline; 18.7% distribution yield. Illiquidity risk</t>
  </si>
  <si>
    <t>EPack Prefab</t>
  </si>
  <si>
    <t>EPACKPEB</t>
  </si>
  <si>
    <t>7.8/10</t>
  </si>
  <si>
    <t>3rd largest PEB maker; 36% rev CAGR, net cash, PEG 0.48. Narrow moat risk</t>
  </si>
  <si>
    <t>Evans Electric</t>
  </si>
  <si>
    <t>542668</t>
  </si>
  <si>
    <t>8.8/10</t>
  </si>
  <si>
    <t>75-yr niche specialist; 30% ROE, 41% ROCE, zero debt, 5.7x PE. Extreme illiquidity</t>
  </si>
  <si>
    <t>Federal Bank</t>
  </si>
  <si>
    <t>FEDERALBNK</t>
  </si>
  <si>
    <t>Clean bank, NRI remittance moat. CASA 32% weak; stretched at 1.86x P/B</t>
  </si>
  <si>
    <t>Force Motors</t>
  </si>
  <si>
    <t>FORCEMOT</t>
  </si>
  <si>
    <t>6.9/10</t>
  </si>
  <si>
    <t>Traveller near-monopoly; Mercedes/BMW component supply. ROE surged -6.5% to 30.3%</t>
  </si>
  <si>
    <t>Ganesh Housing</t>
  </si>
  <si>
    <t>GANESHHOU</t>
  </si>
  <si>
    <t>6.7/10</t>
  </si>
  <si>
    <t>Fortress balance sheet; 35M sq ft land bank, 73% promoter. Cyclical risk</t>
  </si>
  <si>
    <t>Gillette India</t>
  </si>
  <si>
    <t>GILLETTE</t>
  </si>
  <si>
    <t>Razor-and-blade moat; 59% ROCE, 42% ROE. Electric trimmer disruption risk</t>
  </si>
  <si>
    <t>HDFC Bank</t>
  </si>
  <si>
    <t>HDFCBANK</t>
  </si>
  <si>
    <t>5.5/6</t>
  </si>
  <si>
    <t>India's best bank franchise; GNPA 1.24%, 9,600+ branches. Post-merger integration</t>
  </si>
  <si>
    <t>Hindustan Unilever</t>
  </si>
  <si>
    <t>HINDUNILVR</t>
  </si>
  <si>
    <t>9/10</t>
  </si>
  <si>
    <t>India's FMCG crown jewel; 50+ brands, 9M outlets, 20.7% ROE. D2C disruption</t>
  </si>
  <si>
    <t>Hyundai Motor India</t>
  </si>
  <si>
    <t>HYUNDAI</t>
  </si>
  <si>
    <t>India's #2 PV maker; debt-free, 54% ROCE. Parent cash extraction risk</t>
  </si>
  <si>
    <t>ICICI Bank</t>
  </si>
  <si>
    <t>ICICIBANK</t>
  </si>
  <si>
    <t>Elite franchise; 18% ROE, highest ROA (2.18%) among large banks. Turnaround complete</t>
  </si>
  <si>
    <t>IndiaMART</t>
  </si>
  <si>
    <t>INDIAMART</t>
  </si>
  <si>
    <t>B2B toll-bridge; 60% market share, 44% FCF margins, Rs3,051 Cr cash. Founder 49% stake</t>
  </si>
  <si>
    <t>Indian Bank</t>
  </si>
  <si>
    <t>INDIANB</t>
  </si>
  <si>
    <t>PSB turnaround; ROE 17%, GNPA 2.2%, 33% cost-to-income. PSU governance risk</t>
  </si>
  <si>
    <t>Indus Towers</t>
  </si>
  <si>
    <t>INDUSTOWER</t>
  </si>
  <si>
    <t>India's largest tower co; 29% ROCE, 33% ROE, AAA-rated. Declining tenancy ratio</t>
  </si>
  <si>
    <t>Info Edge (Naukri)</t>
  </si>
  <si>
    <t>NAUKRI</t>
  </si>
  <si>
    <t>8.4/10</t>
  </si>
  <si>
    <t>80% recruitment traffic share; debt-free, Rs4,000 Cr cash. AI disruption wildcard</t>
  </si>
  <si>
    <t>Infosys</t>
  </si>
  <si>
    <t>INFY</t>
  </si>
  <si>
    <t>4/7</t>
  </si>
  <si>
    <t>Record cash flows; strong client relationships. AI threatens labour-arbitrage moat</t>
  </si>
  <si>
    <t>International Conveyors</t>
  </si>
  <si>
    <t>INTLCONV</t>
  </si>
  <si>
    <t>5.5/10</t>
  </si>
  <si>
    <t>Niche PVC conveyor belt maker; 85% coal-dependent. Investment portfolio = 64% of mcap</t>
  </si>
  <si>
    <t>IRCTC</t>
  </si>
  <si>
    <t>Govt monopoly railway ticketing; 35%+ ROE, near-zero debt. Policy risk on convenience fee</t>
  </si>
  <si>
    <t>ITC</t>
  </si>
  <si>
    <t>80% cigarette market share; 27% ROE, 4.5% div yield. Tax hike + ESG FII exodus risk</t>
  </si>
  <si>
    <t>JK Paper</t>
  </si>
  <si>
    <t>JKPAPER</t>
  </si>
  <si>
    <t>Integrated paper maker; low-cost producer. Commodity cyclical business</t>
  </si>
  <si>
    <t>Kalyan Jewellers</t>
  </si>
  <si>
    <t>KALYANKJIL</t>
  </si>
  <si>
    <t>Strong brand, franchise model expanding. Jewellery is low-moat commodity retail</t>
  </si>
  <si>
    <t>Kamdhenu</t>
  </si>
  <si>
    <t>KAMDHENU</t>
  </si>
  <si>
    <t>Asset-light franchise model; high ROCE, brand royalty revenue stream</t>
  </si>
  <si>
    <t>Karur Vysya Bank</t>
  </si>
  <si>
    <t>KARURVYSYA</t>
  </si>
  <si>
    <t>Improving asset quality; regional moat in Tamil Nadu. Limited growth runway</t>
  </si>
  <si>
    <t>Kotak Mahindra Bank</t>
  </si>
  <si>
    <t>KOTAKBANK</t>
  </si>
  <si>
    <t>Premium bank franchise; strong management, conservative underwriting</t>
  </si>
  <si>
    <t>KPIT Technologies</t>
  </si>
  <si>
    <t>KPITTECH</t>
  </si>
  <si>
    <t>EV/automotive tech niche; sticky Tier-1 clients, secular tailwind</t>
  </si>
  <si>
    <t>KSE Ltd</t>
  </si>
  <si>
    <t>KSE</t>
  </si>
  <si>
    <t>Dominant Kerala dairy; asset-light operations, steady cash flows</t>
  </si>
  <si>
    <t>Mahalaxmi Rubtech</t>
  </si>
  <si>
    <t>MAHALAXMI</t>
  </si>
  <si>
    <t>8.2/10</t>
  </si>
  <si>
    <t>Niche rubber products; high margins, strong ROCE, undiscovered micro-cap</t>
  </si>
  <si>
    <t>Maharashtra Seamless</t>
  </si>
  <si>
    <t>MAHSEAMLESS</t>
  </si>
  <si>
    <t>Passes all 10 Buffett criteria; debt-free, seamless pipe leader</t>
  </si>
  <si>
    <t>Mahindra &amp; Mahindra</t>
  </si>
  <si>
    <t>M&amp;M</t>
  </si>
  <si>
    <t>SUV dominance; diversified conglomerate, farm+auto dual engines</t>
  </si>
  <si>
    <t>Maruti Suzuki</t>
  </si>
  <si>
    <t>MARUTI</t>
  </si>
  <si>
    <t>India's dominant auto (41% share); debt-free, 62% ROIC, Rs66K Cr cash</t>
  </si>
  <si>
    <t>MRF Ltd</t>
  </si>
  <si>
    <t>MRF</t>
  </si>
  <si>
    <t>India's largest tyre maker; fortress balance sheet. Mediocre 10.5% ROE</t>
  </si>
  <si>
    <t>Nestle India</t>
  </si>
  <si>
    <t>NESTLEIND</t>
  </si>
  <si>
    <t>10/10</t>
  </si>
  <si>
    <t>MAGGI/NESCAFE/KIT KAT franchise; 96% ROCE, 27% ROA. 69x PE = no MoS</t>
  </si>
  <si>
    <t>Olectra Greentech</t>
  </si>
  <si>
    <t>OLECTRA</t>
  </si>
  <si>
    <t>India's largest EV bus maker. Eroding moat, negative FCF, BYD-dependent</t>
  </si>
  <si>
    <t>PC Jeweller</t>
  </si>
  <si>
    <t>PCJEWELLER</t>
  </si>
  <si>
    <t>3/10</t>
  </si>
  <si>
    <t>Turnaround cigar butt; massive debt reduction. 4.5x equity dilution, broken economics</t>
  </si>
  <si>
    <t>Procter &amp; Gamble Hygiene</t>
  </si>
  <si>
    <t>PGHH</t>
  </si>
  <si>
    <t>Whisper 55% share + Vicks; 104% ROCE, zero debt. Overpriced at 42x PE</t>
  </si>
  <si>
    <t>PTC India</t>
  </si>
  <si>
    <t>PTC</t>
  </si>
  <si>
    <t>4/10</t>
  </si>
  <si>
    <t>WEAK: Eroding intermediary moat; zero revenue growth for decade. 7.38% div yield</t>
  </si>
  <si>
    <t>Reliance Industries</t>
  </si>
  <si>
    <t>RELIANCE</t>
  </si>
  <si>
    <t>Jio oligopoly is Buffett-like; conglomerate dilutes quality. 8% ROE at 2.17x P/B</t>
  </si>
  <si>
    <t>Sacheerome Ltd</t>
  </si>
  <si>
    <t>SACHEEROME</t>
  </si>
  <si>
    <t>B2B fragrance niche; 39% ROCE, debt-free, 52% EPS CAGR, switching costs</t>
  </si>
  <si>
    <t>Shilchar Technologies</t>
  </si>
  <si>
    <t>SHILCTECH</t>
  </si>
  <si>
    <t>Transformer maker; 71% ROCE, zero debt, 37% book value CAGR, export growth</t>
  </si>
  <si>
    <t>SH Kelkar (KEVA)</t>
  </si>
  <si>
    <t>SHK</t>
  </si>
  <si>
    <t>India's #1 domestic F&amp;F supplier; 100-yr brand, deep value turnaround at 1.26x P/B</t>
  </si>
  <si>
    <t>Shriram Finance</t>
  </si>
  <si>
    <t>SHRIRAMFIN</t>
  </si>
  <si>
    <t>Wide moat NBFC; 2.8% ROA, used CV finance leader, 3,225+ branches</t>
  </si>
  <si>
    <t>Solar Industries</t>
  </si>
  <si>
    <t>SOLARINDS</t>
  </si>
  <si>
    <t>India's explosives monopoly; 31% ROCE, 73% promoter, defence order visibility</t>
  </si>
  <si>
    <t>South Indian Bank</t>
  </si>
  <si>
    <t>SOUTHBANK</t>
  </si>
  <si>
    <t>Cyclical recovery; GNPA 5.48% to 2.67%, ROA surged to 1.08%, 0.90x P/B</t>
  </si>
  <si>
    <t>SPML Infra</t>
  </si>
  <si>
    <t>SPMLINFRA</t>
  </si>
  <si>
    <t>WEAK: Commodity EPC, no moat, erratic cash flows, negative 10Y avg EPS</t>
  </si>
  <si>
    <t>State Bank of India</t>
  </si>
  <si>
    <t>SBIN</t>
  </si>
  <si>
    <t>India's largest bank; 22K branches, 17% ROE, post-turnaround compounder</t>
  </si>
  <si>
    <t>SAIL</t>
  </si>
  <si>
    <t>WEAK: Commodity steel, 4-5% ROE destroys value. Zero growth, no moat</t>
  </si>
  <si>
    <t>Swaraj Engines</t>
  </si>
  <si>
    <t>SWARAJENG</t>
  </si>
  <si>
    <t>Captive Mahindra supplier; 42% ROE, 56% ROCE, zero debt, 80% payout</t>
  </si>
  <si>
    <t>Systango Technologies</t>
  </si>
  <si>
    <t>SYSTANGO</t>
  </si>
  <si>
    <t>Micro-cap IT; 36% margins, zero debt, 54% profit CAGR. Client concentration risk</t>
  </si>
  <si>
    <t>Tanfac Industries</t>
  </si>
  <si>
    <t>TANFACIND</t>
  </si>
  <si>
    <t>India's largest fluorine chemicals; 45% ROCE, regulatory moat, near-zero debt</t>
  </si>
  <si>
    <t>Tata Motors</t>
  </si>
  <si>
    <t>TMPV</t>
  </si>
  <si>
    <t>Deep value at 1.15x book; 87% EV dominance, India CV #1. JLR cyclically stressed</t>
  </si>
  <si>
    <t>Tata Power</t>
  </si>
  <si>
    <t>TATAPOWER</t>
  </si>
  <si>
    <t>Regulated monopoly T&amp;D (62% rev); strong Tata backing. Overpriced at 34x PE</t>
  </si>
  <si>
    <t>Tata Steel</t>
  </si>
  <si>
    <t>TATASTEEL</t>
  </si>
  <si>
    <t>India cost moat via captive iron ore. At historic peak P/B; commodity cyclical</t>
  </si>
  <si>
    <t>Titan Company</t>
  </si>
  <si>
    <t>TITAN</t>
  </si>
  <si>
    <t>Trust-based jewellery moat; 9/10 quality, 30%+ ROE. 89x PE = no MoS</t>
  </si>
  <si>
    <t>TVS Holdings</t>
  </si>
  <si>
    <t>TVSHLTD</t>
  </si>
  <si>
    <t>67% holdco discount; owns 50% TVS Motor + NBFC. 31%+ upside conservative</t>
  </si>
  <si>
    <t>TVS Motor</t>
  </si>
  <si>
    <t>TVSMOTOR</t>
  </si>
  <si>
    <t>India's 3rd largest 2W; 30% ROE, EV leader (iQube). 57x PE = fully valued</t>
  </si>
  <si>
    <t>Varun Beverages</t>
  </si>
  <si>
    <t>VBL</t>
  </si>
  <si>
    <t>Largest PepsiCo bottler globally; 20% ROCE, consumer franchise. 45.8x PE</t>
  </si>
  <si>
    <t>Alphabet (Google)</t>
  </si>
  <si>
    <t>GOOGL</t>
  </si>
  <si>
    <t>NASDAQ</t>
  </si>
  <si>
    <t>Search monopoly + AI moat; 35.7% ROE, $164.7B OCF. Fairly valued at $340</t>
  </si>
  <si>
    <t>Amazon</t>
  </si>
  <si>
    <t>AMZN</t>
  </si>
  <si>
    <t>Multi-moat giant; AWS 31% cloud share, 22.3% ROE. At value zone ($250)</t>
  </si>
  <si>
    <t>Apple</t>
  </si>
  <si>
    <t>AAPL</t>
  </si>
  <si>
    <t>10/10 quality; $100B+ FCF, 31% ROA, ecosystem moat. Fully valued at 34x PE</t>
  </si>
  <si>
    <t>Broadcom</t>
  </si>
  <si>
    <t>AVGO</t>
  </si>
  <si>
    <t>9.3/10</t>
  </si>
  <si>
    <t>AI data center toll bridge; 42% FCF margin, 68% gross margins, elite mgmt</t>
  </si>
  <si>
    <t>Meta Platforms</t>
  </si>
  <si>
    <t>META</t>
  </si>
  <si>
    <t>3.58B DAU ad monopoly; 82% gross margins, $46.1B FCF. AI capex risk</t>
  </si>
  <si>
    <t>Microsoft</t>
  </si>
  <si>
    <t>MSFT</t>
  </si>
  <si>
    <t>Enterprise toll bridge; 30%+ ROE, $51B net cash, AI/Azure widening moat</t>
  </si>
  <si>
    <t>NVIDIA</t>
  </si>
  <si>
    <t>NVDA</t>
  </si>
  <si>
    <t>AI GPU monopoly; 55% net margins, 101% ROE, $55B net cash. Fair value at $200</t>
  </si>
  <si>
    <t>PayPal</t>
  </si>
  <si>
    <t>PYPL</t>
  </si>
  <si>
    <t>Deep value at 9.4x PE; 25.8% ROIC, $5.6B FCF. Narrowing moat, mgmt instability</t>
  </si>
  <si>
    <t>Deep Value - Strong Buy Zone</t>
  </si>
  <si>
    <t>Companies trading significantly below intrinsic value. Maximum margin of safety. Fat pitch opportunities. (Auto-updates as prices change in 'All Companies' sheet)</t>
  </si>
  <si>
    <t>Deep Value Below (Rs)</t>
  </si>
  <si>
    <t>Value/Buy Up To (Rs)</t>
  </si>
  <si>
    <t>Fair Value Up To (Rs)</t>
  </si>
  <si>
    <t>Overvalued Above (Rs)</t>
  </si>
  <si>
    <t>Conservative IV (Rs)</t>
  </si>
  <si>
    <t>Base Case IV (Rs)</t>
  </si>
  <si>
    <t>Optimistic IV (Rs)</t>
  </si>
  <si>
    <t>Upside to Base IV (%)</t>
  </si>
  <si>
    <t>Value - Buy Zone</t>
  </si>
  <si>
    <t>Companies trading below fair value with adequate margin of safety. Good entry points. (Auto-updates as prices change in 'All Companies' sheet)</t>
  </si>
  <si>
    <t>Fair Value - Hold Zone</t>
  </si>
  <si>
    <t>Companies trading around intrinsic value. Hold if owned, don't initiate new positions. (Auto-updates as prices change in 'All Companies' sheet)</t>
  </si>
  <si>
    <t>Fully Valued - Trim Zone</t>
  </si>
  <si>
    <t>Companies trading above base-case intrinsic value. Consider trimming positions. (Auto-updates as prices change in 'All Companies' sheet)</t>
  </si>
  <si>
    <t>Overvalued - Sell Zone</t>
  </si>
  <si>
    <t>Companies significantly above all intrinsic value estimates. Sell or avoid entirely. (Auto-updates as prices change in 'All Companies' sheet)</t>
  </si>
  <si>
    <t>Weak Business Zone</t>
  </si>
  <si>
    <t>Fundamentally broken businesses. No price is cheap enough. Never buy. (Auto-updates as prices change in 'All Companies' sheet)</t>
  </si>
  <si>
    <t>Portfolio Zone Distribution</t>
  </si>
  <si>
    <t>Zone</t>
  </si>
  <si>
    <t>Count</t>
  </si>
  <si>
    <t>Description</t>
  </si>
  <si>
    <t>Maximum margin of safety - fat pitch opportunities</t>
  </si>
  <si>
    <t>Below fair value - good entry points</t>
  </si>
  <si>
    <t>Around intrinsic value - hold, don't buy</t>
  </si>
  <si>
    <t>Above intrinsic value - consider trimming</t>
  </si>
  <si>
    <t>Significantly overvalued - sell or avoid</t>
  </si>
  <si>
    <t>Fundamentally broken - never buy</t>
  </si>
  <si>
    <t>Enter Price</t>
  </si>
  <si>
    <t>Price not yet entered</t>
  </si>
  <si>
    <t>TOTAL</t>
  </si>
  <si>
    <t>HIGHEST CONVICTION BUSINESSES (Ranked by Fundamental Quality)</t>
  </si>
  <si>
    <t>Company</t>
  </si>
  <si>
    <t>Business Moat &amp; Fundamentals</t>
  </si>
  <si>
    <t>Multi-moat giant; AWS 31% cloud share, 22.3% ROE</t>
  </si>
  <si>
    <t>10/10 quality; $100B+ FCF, 31% ROA, ecosystem moat</t>
  </si>
  <si>
    <t>AI GPU monopoly; 55% net margins, 101% ROE, $55B net cash</t>
  </si>
  <si>
    <t>MAGGI/NESCAFE/KIT KAT franchise; 96% ROCE, 27% ROA</t>
  </si>
  <si>
    <t>Govt monopoly defence electronics; 39% ROCE, debt-free</t>
  </si>
  <si>
    <t>Razor-and-blade moat; 59% ROCE, 42% ROE</t>
  </si>
  <si>
    <t>India's best bank franchise; GNPA 1.24%, 9,600+ branches</t>
  </si>
  <si>
    <t>Elite franchise; 18% ROE, highest ROA (2.18%) among large banks</t>
  </si>
  <si>
    <t>Search monopoly + AI moat; 35.7% ROE, $164.7B OCF</t>
  </si>
  <si>
    <t>India's FMCG crown jewel; 50+ brands, 9M outlets, 20.7% ROE</t>
  </si>
  <si>
    <t>67% holdco discount; owns 50% TVS Motor + NBFC</t>
  </si>
  <si>
    <t>India's 3rd largest 2W; 30% ROE, EV leader (iQube)</t>
  </si>
  <si>
    <t>Trust-based jewellery moat; 9/10 quality, 30%+ ROE</t>
  </si>
  <si>
    <t>Largest PepsiCo bottler globally; 20% ROCE, consumer franchise</t>
  </si>
  <si>
    <t>75-yr niche specialist; 30% ROE, 41% ROCE, zero debt, 5.7x PE</t>
  </si>
  <si>
    <t>Regulatory toll bridge; 50%+ margins, S&amp;P Global 66.64% parent</t>
  </si>
  <si>
    <t>World's largest coal producer; 38% ROE, 5.8% div yield</t>
  </si>
  <si>
    <t>80% recruitment traffic share; debt-free, Rs4,000 Cr cash</t>
  </si>
  <si>
    <t>80%+ ROE, 89-yr franchise, zero debt</t>
  </si>
  <si>
    <t>Clean bank, NRI remittance moat</t>
  </si>
  <si>
    <t>AAA-rated monopoly gas pipeline; 18.7% distribution yield</t>
  </si>
  <si>
    <t>Lowest-cost retailer; 13.4% ROE, debt-free</t>
  </si>
  <si>
    <t>Leading defence electronics; 30-35% revenue CAGR</t>
  </si>
  <si>
    <t>Whisper 55% share + Vicks; 104% ROCE, zero debt</t>
  </si>
  <si>
    <t>3rd largest PEB maker; 36% rev CAGR, net cash, PEG 0.48</t>
  </si>
  <si>
    <t>India's largest tower co; 29% ROCE, 33% ROE, AAA-rated</t>
  </si>
  <si>
    <t>3.58B DAU ad monopoly; 82% gross margins, $46.1B FCF</t>
  </si>
  <si>
    <t>50% market share steel tubes; 22%+ ROCE</t>
  </si>
  <si>
    <t>Superior NIM 5.5-6%; first SFB to get universal bank license</t>
  </si>
  <si>
    <t>Best-in-class PSB asset quality; GNPA 2.08%, 18% ROE</t>
  </si>
  <si>
    <t>80% cigarette market share; 27% ROE, 4.5% div yield</t>
  </si>
  <si>
    <t>B2B toll-bridge; 60% market share, 44% FCF margins, Rs3,051 Cr cash</t>
  </si>
</sst>
</file>

<file path=xl/styles.xml><?xml version="1.0" encoding="utf-8"?>
<styleSheet xmlns="http://schemas.openxmlformats.org/spreadsheetml/2006/main">
  <numFmts count="1">
    <numFmt numFmtId="164" formatCode="#,##0"/>
  </numFmts>
  <fonts count="14">
    <font>
      <sz val="11"/>
      <color theme="1"/>
      <name val="Calibri"/>
      <family val="2"/>
      <scheme val="minor"/>
    </font>
    <font>
      <b/>
      <sz val="20"/>
      <color rgb="FF2C3E50"/>
      <name val="Calibri"/>
      <family val="2"/>
      <scheme val="minor"/>
    </font>
    <font>
      <i/>
      <sz val="13"/>
      <color rgb="FF7F8C8D"/>
      <name val="Calibri"/>
      <family val="2"/>
      <scheme val="minor"/>
    </font>
    <font>
      <b/>
      <sz val="13"/>
      <color rgb="FF2C3E5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33333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4"/>
      <color rgb="FF333333"/>
      <name val="Calibri"/>
      <family val="2"/>
      <scheme val="minor"/>
    </font>
    <font>
      <b/>
      <sz val="14"/>
      <color rgb="FF2C3E5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6400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1A1A1A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228B22"/>
        <bgColor indexed="64"/>
      </patternFill>
    </fill>
    <fill>
      <patternFill patternType="solid">
        <fgColor rgb="FFDAA52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0" borderId="0" xfId="0" applyFont="1"/>
    <xf numFmtId="0" fontId="0" fillId="0" borderId="0" xfId="0" applyAlignment="1">
      <alignment wrapText="1"/>
    </xf>
    <xf numFmtId="0" fontId="8" fillId="0" borderId="0" xfId="0" applyFont="1"/>
    <xf numFmtId="0" fontId="9" fillId="8" borderId="0" xfId="0" applyFont="1" applyFill="1" applyAlignment="1">
      <alignment horizontal="center" vertical="center"/>
    </xf>
    <xf numFmtId="0" fontId="4" fillId="8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9" borderId="2" xfId="0" applyFill="1" applyBorder="1" applyAlignment="1">
      <alignment horizontal="center" vertical="center"/>
    </xf>
    <xf numFmtId="0" fontId="0" fillId="9" borderId="2" xfId="0" applyFill="1" applyBorder="1" applyAlignment="1">
      <alignment vertical="center"/>
    </xf>
    <xf numFmtId="164" fontId="0" fillId="9" borderId="2" xfId="0" applyNumberFormat="1" applyFill="1" applyBorder="1" applyAlignment="1">
      <alignment horizontal="center" vertical="center"/>
    </xf>
    <xf numFmtId="0" fontId="0" fillId="9" borderId="2" xfId="0" applyFill="1" applyBorder="1" applyAlignment="1">
      <alignment vertical="center" wrapText="1"/>
    </xf>
    <xf numFmtId="0" fontId="9" fillId="2" borderId="0" xfId="0" applyFont="1" applyFill="1" applyAlignment="1">
      <alignment horizontal="center" vertical="center"/>
    </xf>
    <xf numFmtId="0" fontId="10" fillId="0" borderId="0" xfId="0" applyFont="1"/>
    <xf numFmtId="0" fontId="9" fillId="10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12" fillId="0" borderId="0" xfId="0" applyFont="1"/>
    <xf numFmtId="0" fontId="13" fillId="0" borderId="1" xfId="0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7" fillId="3" borderId="1" xfId="0" applyFont="1" applyFill="1" applyBorder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6">
    <dxf>
      <font>
        <b/>
        <color rgb="FFFFFFFF"/>
      </font>
      <fill>
        <patternFill>
          <bgColor rgb="FF0064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000000"/>
      </font>
      <fill>
        <patternFill>
          <bgColor rgb="FF90EE9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333333"/>
      </font>
      <fill>
        <patternFill>
          <bgColor rgb="FFFFD7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FF8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DC143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1A1A1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C3E50"/>
  </sheetPr>
  <dimension ref="B2:C35"/>
  <sheetViews>
    <sheetView showGridLines="0" tabSelected="1" workbookViewId="0"/>
  </sheetViews>
  <sheetFormatPr defaultRowHeight="15"/>
  <cols>
    <col min="1" max="1" width="5.7109375" customWidth="1"/>
    <col min="2" max="2" width="30.7109375" customWidth="1"/>
    <col min="3" max="3" width="60.7109375" customWidth="1"/>
  </cols>
  <sheetData>
    <row r="2" spans="2:3">
      <c r="B2" s="1" t="s">
        <v>0</v>
      </c>
      <c r="C2" s="1"/>
    </row>
    <row r="3" spans="2:3">
      <c r="B3" s="2" t="s">
        <v>1</v>
      </c>
      <c r="C3" s="2"/>
    </row>
    <row r="5" spans="2:3">
      <c r="B5" s="3" t="s">
        <v>2</v>
      </c>
      <c r="C5" s="3"/>
    </row>
    <row r="7" spans="2:3">
      <c r="B7" s="4" t="s">
        <v>3</v>
      </c>
      <c r="C7" s="5" t="s">
        <v>4</v>
      </c>
    </row>
    <row r="8" spans="2:3">
      <c r="B8" s="6" t="s">
        <v>5</v>
      </c>
      <c r="C8" s="5" t="s">
        <v>6</v>
      </c>
    </row>
    <row r="9" spans="2:3">
      <c r="B9" s="7" t="s">
        <v>7</v>
      </c>
      <c r="C9" s="5" t="s">
        <v>8</v>
      </c>
    </row>
    <row r="10" spans="2:3">
      <c r="B10" s="8" t="s">
        <v>9</v>
      </c>
      <c r="C10" s="5" t="s">
        <v>10</v>
      </c>
    </row>
    <row r="11" spans="2:3">
      <c r="B11" s="9" t="s">
        <v>11</v>
      </c>
      <c r="C11" s="5" t="s">
        <v>12</v>
      </c>
    </row>
    <row r="12" spans="2:3">
      <c r="B12" s="10" t="s">
        <v>13</v>
      </c>
      <c r="C12" s="5" t="s">
        <v>14</v>
      </c>
    </row>
    <row r="15" spans="2:3">
      <c r="B15" s="3" t="s">
        <v>15</v>
      </c>
      <c r="C15" s="3"/>
    </row>
    <row r="17" spans="2:3">
      <c r="B17" s="11" t="s">
        <v>16</v>
      </c>
      <c r="C17" s="12" t="s">
        <v>17</v>
      </c>
    </row>
    <row r="19" spans="2:3">
      <c r="B19" s="11" t="s">
        <v>18</v>
      </c>
      <c r="C19" s="12" t="s">
        <v>19</v>
      </c>
    </row>
    <row r="21" spans="2:3">
      <c r="B21" s="11" t="s">
        <v>20</v>
      </c>
      <c r="C21" s="12" t="s">
        <v>21</v>
      </c>
    </row>
    <row r="23" spans="2:3">
      <c r="B23" s="11" t="s">
        <v>22</v>
      </c>
      <c r="C23" s="12" t="s">
        <v>23</v>
      </c>
    </row>
    <row r="25" spans="2:3">
      <c r="B25" s="11" t="s">
        <v>24</v>
      </c>
      <c r="C25" s="12" t="s">
        <v>25</v>
      </c>
    </row>
    <row r="28" spans="2:3">
      <c r="B28" s="3" t="s">
        <v>26</v>
      </c>
      <c r="C28" s="3"/>
    </row>
    <row r="30" spans="2:3">
      <c r="B30" s="13" t="s">
        <v>27</v>
      </c>
      <c r="C30" s="13"/>
    </row>
    <row r="31" spans="2:3">
      <c r="B31" s="13" t="s">
        <v>28</v>
      </c>
      <c r="C31" s="13"/>
    </row>
    <row r="32" spans="2:3">
      <c r="B32" s="13" t="s">
        <v>29</v>
      </c>
      <c r="C32" s="13"/>
    </row>
    <row r="33" spans="2:3">
      <c r="B33" s="13" t="s">
        <v>30</v>
      </c>
      <c r="C33" s="13"/>
    </row>
    <row r="34" spans="2:3">
      <c r="B34" s="13" t="s">
        <v>31</v>
      </c>
      <c r="C34" s="13"/>
    </row>
    <row r="35" spans="2:3">
      <c r="B35" s="13" t="s">
        <v>32</v>
      </c>
      <c r="C35" s="13"/>
    </row>
  </sheetData>
  <mergeCells count="11">
    <mergeCell ref="B2:C2"/>
    <mergeCell ref="B3:C3"/>
    <mergeCell ref="B5:C5"/>
    <mergeCell ref="B15:C15"/>
    <mergeCell ref="B28:C28"/>
    <mergeCell ref="B30:C30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498DB"/>
  </sheetPr>
  <dimension ref="A1:P91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5.7109375" customWidth="1"/>
    <col min="2" max="2" width="30.7109375" customWidth="1"/>
    <col min="3" max="3" width="14.7109375" customWidth="1"/>
    <col min="4" max="5" width="10.7109375" customWidth="1"/>
    <col min="6" max="6" width="18.7109375" customWidth="1"/>
    <col min="7" max="13" width="14.7109375" customWidth="1"/>
    <col min="14" max="14" width="22.7109375" customWidth="1"/>
    <col min="15" max="15" width="14.7109375" customWidth="1"/>
    <col min="16" max="16" width="55.7109375" customWidth="1"/>
  </cols>
  <sheetData>
    <row r="1" spans="1:16" ht="30" customHeight="1">
      <c r="A1" s="14" t="s">
        <v>33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</row>
    <row r="2" spans="1:16" ht="35" customHeight="1">
      <c r="A2" s="15" t="s">
        <v>34</v>
      </c>
      <c r="B2" s="15" t="s">
        <v>35</v>
      </c>
      <c r="C2" s="15" t="s">
        <v>36</v>
      </c>
      <c r="D2" s="15" t="s">
        <v>37</v>
      </c>
      <c r="E2" s="15" t="s">
        <v>38</v>
      </c>
      <c r="F2" s="15" t="s">
        <v>39</v>
      </c>
      <c r="G2" s="15" t="s">
        <v>40</v>
      </c>
      <c r="H2" s="15" t="s">
        <v>41</v>
      </c>
      <c r="I2" s="15" t="s">
        <v>42</v>
      </c>
      <c r="J2" s="15" t="s">
        <v>43</v>
      </c>
      <c r="K2" s="15" t="s">
        <v>44</v>
      </c>
      <c r="L2" s="15" t="s">
        <v>45</v>
      </c>
      <c r="M2" s="15" t="s">
        <v>46</v>
      </c>
      <c r="N2" s="15" t="s">
        <v>47</v>
      </c>
      <c r="O2" s="15" t="s">
        <v>48</v>
      </c>
      <c r="P2" s="15" t="s">
        <v>49</v>
      </c>
    </row>
    <row r="3" spans="1:16" ht="22" customHeight="1">
      <c r="A3" s="16">
        <v>1</v>
      </c>
      <c r="B3" s="17" t="s">
        <v>50</v>
      </c>
      <c r="C3" s="16" t="s">
        <v>51</v>
      </c>
      <c r="D3" s="16" t="s">
        <v>52</v>
      </c>
      <c r="E3" s="16" t="s">
        <v>53</v>
      </c>
      <c r="F3" s="18"/>
      <c r="G3" s="18">
        <v>100</v>
      </c>
      <c r="H3" s="18">
        <v>150</v>
      </c>
      <c r="I3" s="18">
        <v>250</v>
      </c>
      <c r="J3" s="18">
        <v>308</v>
      </c>
      <c r="K3" s="18">
        <v>193</v>
      </c>
      <c r="L3" s="18">
        <v>308</v>
      </c>
      <c r="M3" s="18">
        <v>400</v>
      </c>
      <c r="N3" s="16">
        <f>IF(F3="","Enter Price",IF(F3&lt;=G3,"Deep Value / Strong Buy",IF(F3&lt;=H3,"Value / Buy",IF(F3&lt;=I3,"Fair Value / Hold",IF(F3&lt;=J3,"Fully Valued / Trim","Overvalued / Sell")))))</f>
        <v>0</v>
      </c>
      <c r="O3" s="16">
        <f>IF(OR(F3="",F3=0),"N/A",ROUND((L3-F3)/F3*100,1))</f>
        <v>0</v>
      </c>
      <c r="P3" s="19" t="s">
        <v>54</v>
      </c>
    </row>
    <row r="4" spans="1:16" ht="22" customHeight="1">
      <c r="A4" s="20">
        <v>2</v>
      </c>
      <c r="B4" s="21" t="s">
        <v>55</v>
      </c>
      <c r="C4" s="20" t="s">
        <v>56</v>
      </c>
      <c r="D4" s="20" t="s">
        <v>57</v>
      </c>
      <c r="E4" s="20" t="s">
        <v>58</v>
      </c>
      <c r="F4" s="22"/>
      <c r="G4" s="22">
        <v>26</v>
      </c>
      <c r="H4" s="22">
        <v>37</v>
      </c>
      <c r="I4" s="22">
        <v>45</v>
      </c>
      <c r="J4" s="22">
        <v>50</v>
      </c>
      <c r="K4" s="22">
        <v>30</v>
      </c>
      <c r="L4" s="22">
        <v>37</v>
      </c>
      <c r="M4" s="22">
        <v>50</v>
      </c>
      <c r="N4" s="20">
        <f>IF(F4="","Enter Price",IF(F4&lt;=G4,"Deep Value / Strong Buy",IF(F4&lt;=H4,"Value / Buy",IF(F4&lt;=I4,"Fair Value / Hold",IF(F4&lt;=J4,"Fully Valued / Trim","Overvalued / Sell")))))</f>
        <v>0</v>
      </c>
      <c r="O4" s="20">
        <f>IF(OR(F4="",F4=0),"N/A",ROUND((L4-F4)/F4*100,1))</f>
        <v>0</v>
      </c>
      <c r="P4" s="23" t="s">
        <v>59</v>
      </c>
    </row>
    <row r="5" spans="1:16" ht="22" customHeight="1">
      <c r="A5" s="16">
        <v>3</v>
      </c>
      <c r="B5" s="17" t="s">
        <v>60</v>
      </c>
      <c r="C5" s="16" t="s">
        <v>61</v>
      </c>
      <c r="D5" s="16" t="s">
        <v>57</v>
      </c>
      <c r="E5" s="16" t="s">
        <v>62</v>
      </c>
      <c r="F5" s="18"/>
      <c r="G5" s="18">
        <v>270</v>
      </c>
      <c r="H5" s="18">
        <v>380</v>
      </c>
      <c r="I5" s="18">
        <v>500</v>
      </c>
      <c r="J5" s="18">
        <v>588</v>
      </c>
      <c r="K5" s="18">
        <v>268</v>
      </c>
      <c r="L5" s="18">
        <v>588</v>
      </c>
      <c r="M5" s="18">
        <v>700</v>
      </c>
      <c r="N5" s="16">
        <f>IF(F5="","Enter Price",IF(F5&lt;=G5,"Deep Value / Strong Buy",IF(F5&lt;=H5,"Value / Buy",IF(F5&lt;=I5,"Fair Value / Hold",IF(F5&lt;=J5,"Fully Valued / Trim","Overvalued / Sell")))))</f>
        <v>0</v>
      </c>
      <c r="O5" s="16">
        <f>IF(OR(F5="",F5=0),"N/A",ROUND((L5-F5)/F5*100,1))</f>
        <v>0</v>
      </c>
      <c r="P5" s="19" t="s">
        <v>63</v>
      </c>
    </row>
    <row r="6" spans="1:16" ht="22" customHeight="1">
      <c r="A6" s="20">
        <v>4</v>
      </c>
      <c r="B6" s="21" t="s">
        <v>64</v>
      </c>
      <c r="C6" s="20" t="s">
        <v>65</v>
      </c>
      <c r="D6" s="20" t="s">
        <v>57</v>
      </c>
      <c r="E6" s="20" t="s">
        <v>66</v>
      </c>
      <c r="F6" s="22"/>
      <c r="G6" s="22">
        <v>820</v>
      </c>
      <c r="H6" s="22">
        <v>1200</v>
      </c>
      <c r="I6" s="22">
        <v>1500</v>
      </c>
      <c r="J6" s="22">
        <v>1800</v>
      </c>
      <c r="K6" s="22">
        <v>1000</v>
      </c>
      <c r="L6" s="22">
        <v>1500</v>
      </c>
      <c r="M6" s="22">
        <v>2000</v>
      </c>
      <c r="N6" s="20">
        <f>IF(F6="","Enter Price",IF(F6&lt;=G6,"Deep Value / Strong Buy",IF(F6&lt;=H6,"Value / Buy",IF(F6&lt;=I6,"Fair Value / Hold",IF(F6&lt;=J6,"Fully Valued / Trim","Overvalued / Sell")))))</f>
        <v>0</v>
      </c>
      <c r="O6" s="20">
        <f>IF(OR(F6="",F6=0),"N/A",ROUND((L6-F6)/F6*100,1))</f>
        <v>0</v>
      </c>
      <c r="P6" s="23" t="s">
        <v>67</v>
      </c>
    </row>
    <row r="7" spans="1:16" ht="22" customHeight="1">
      <c r="A7" s="16">
        <v>5</v>
      </c>
      <c r="B7" s="17" t="s">
        <v>68</v>
      </c>
      <c r="C7" s="16" t="s">
        <v>69</v>
      </c>
      <c r="D7" s="16" t="s">
        <v>57</v>
      </c>
      <c r="E7" s="16" t="s">
        <v>70</v>
      </c>
      <c r="F7" s="18"/>
      <c r="G7" s="18">
        <v>200</v>
      </c>
      <c r="H7" s="18">
        <v>270</v>
      </c>
      <c r="I7" s="18">
        <v>356</v>
      </c>
      <c r="J7" s="18">
        <v>420</v>
      </c>
      <c r="K7" s="18">
        <v>229</v>
      </c>
      <c r="L7" s="18">
        <v>356</v>
      </c>
      <c r="M7" s="18">
        <v>519</v>
      </c>
      <c r="N7" s="16">
        <f>IF(F7="","Enter Price",IF(F7&lt;=G7,"Deep Value / Strong Buy",IF(F7&lt;=H7,"Value / Buy",IF(F7&lt;=I7,"Fair Value / Hold",IF(F7&lt;=J7,"Fully Valued / Trim","Overvalued / Sell")))))</f>
        <v>0</v>
      </c>
      <c r="O7" s="16">
        <f>IF(OR(F7="",F7=0),"N/A",ROUND((L7-F7)/F7*100,1))</f>
        <v>0</v>
      </c>
      <c r="P7" s="19" t="s">
        <v>71</v>
      </c>
    </row>
    <row r="8" spans="1:16" ht="22" customHeight="1">
      <c r="A8" s="20">
        <v>6</v>
      </c>
      <c r="B8" s="21" t="s">
        <v>72</v>
      </c>
      <c r="C8" s="20" t="s">
        <v>73</v>
      </c>
      <c r="D8" s="20" t="s">
        <v>57</v>
      </c>
      <c r="E8" s="20" t="s">
        <v>74</v>
      </c>
      <c r="F8" s="22"/>
      <c r="G8" s="22">
        <v>400</v>
      </c>
      <c r="H8" s="22">
        <v>600</v>
      </c>
      <c r="I8" s="22">
        <v>839</v>
      </c>
      <c r="J8" s="22">
        <v>1200</v>
      </c>
      <c r="K8" s="22">
        <v>839</v>
      </c>
      <c r="L8" s="22">
        <v>1563</v>
      </c>
      <c r="M8" s="22">
        <v>2000</v>
      </c>
      <c r="N8" s="20">
        <f>IF(F8="","Enter Price",IF(F8&lt;=G8,"Deep Value / Strong Buy",IF(F8&lt;=H8,"Value / Buy",IF(F8&lt;=I8,"Fair Value / Hold",IF(F8&lt;=J8,"Fully Valued / Trim","Overvalued / Sell")))))</f>
        <v>0</v>
      </c>
      <c r="O8" s="20">
        <f>IF(OR(F8="",F8=0),"N/A",ROUND((L8-F8)/F8*100,1))</f>
        <v>0</v>
      </c>
      <c r="P8" s="23" t="s">
        <v>75</v>
      </c>
    </row>
    <row r="9" spans="1:16" ht="22" customHeight="1">
      <c r="A9" s="16">
        <v>7</v>
      </c>
      <c r="B9" s="17" t="s">
        <v>76</v>
      </c>
      <c r="C9" s="16" t="s">
        <v>77</v>
      </c>
      <c r="D9" s="16" t="s">
        <v>57</v>
      </c>
      <c r="E9" s="16" t="s">
        <v>78</v>
      </c>
      <c r="F9" s="18"/>
      <c r="G9" s="18">
        <v>400</v>
      </c>
      <c r="H9" s="18">
        <v>610</v>
      </c>
      <c r="I9" s="18">
        <v>750</v>
      </c>
      <c r="J9" s="18">
        <v>900</v>
      </c>
      <c r="K9" s="18">
        <v>485</v>
      </c>
      <c r="L9" s="18">
        <v>610</v>
      </c>
      <c r="M9" s="18">
        <v>800</v>
      </c>
      <c r="N9" s="16">
        <f>IF(F9="","Enter Price",IF(F9&lt;=G9,"Deep Value / Strong Buy",IF(F9&lt;=H9,"Value / Buy",IF(F9&lt;=I9,"Fair Value / Hold",IF(F9&lt;=J9,"Fully Valued / Trim","Overvalued / Sell")))))</f>
        <v>0</v>
      </c>
      <c r="O9" s="16">
        <f>IF(OR(F9="",F9=0),"N/A",ROUND((L9-F9)/F9*100,1))</f>
        <v>0</v>
      </c>
      <c r="P9" s="19" t="s">
        <v>79</v>
      </c>
    </row>
    <row r="10" spans="1:16" ht="22" customHeight="1">
      <c r="A10" s="20">
        <v>8</v>
      </c>
      <c r="B10" s="21" t="s">
        <v>80</v>
      </c>
      <c r="C10" s="20" t="s">
        <v>81</v>
      </c>
      <c r="D10" s="20" t="s">
        <v>57</v>
      </c>
      <c r="E10" s="20" t="s">
        <v>82</v>
      </c>
      <c r="F10" s="22"/>
      <c r="G10" s="22">
        <v>1316</v>
      </c>
      <c r="H10" s="22">
        <v>1974</v>
      </c>
      <c r="I10" s="22">
        <v>2500</v>
      </c>
      <c r="J10" s="22">
        <v>3000</v>
      </c>
      <c r="K10" s="22">
        <v>1316</v>
      </c>
      <c r="L10" s="22">
        <v>2015</v>
      </c>
      <c r="M10" s="22">
        <v>2500</v>
      </c>
      <c r="N10" s="20">
        <f>IF(F10="","Enter Price",IF(F10&lt;=G10,"Deep Value / Strong Buy",IF(F10&lt;=H10,"Value / Buy",IF(F10&lt;=I10,"Fair Value / Hold",IF(F10&lt;=J10,"Fully Valued / Trim","Overvalued / Sell")))))</f>
        <v>0</v>
      </c>
      <c r="O10" s="20">
        <f>IF(OR(F10="",F10=0),"N/A",ROUND((L10-F10)/F10*100,1))</f>
        <v>0</v>
      </c>
      <c r="P10" s="23" t="s">
        <v>83</v>
      </c>
    </row>
    <row r="11" spans="1:16" ht="22" customHeight="1">
      <c r="A11" s="16">
        <v>9</v>
      </c>
      <c r="B11" s="17" t="s">
        <v>84</v>
      </c>
      <c r="C11" s="16" t="s">
        <v>85</v>
      </c>
      <c r="D11" s="16" t="s">
        <v>57</v>
      </c>
      <c r="E11" s="16" t="s">
        <v>86</v>
      </c>
      <c r="F11" s="18"/>
      <c r="G11" s="18">
        <v>900</v>
      </c>
      <c r="H11" s="18">
        <v>1105</v>
      </c>
      <c r="I11" s="18">
        <v>1430</v>
      </c>
      <c r="J11" s="18">
        <v>1700</v>
      </c>
      <c r="K11" s="18">
        <v>1100</v>
      </c>
      <c r="L11" s="18">
        <v>1430</v>
      </c>
      <c r="M11" s="18">
        <v>3537</v>
      </c>
      <c r="N11" s="16">
        <f>IF(F11="","Enter Price",IF(F11&lt;=G11,"Deep Value / Strong Buy",IF(F11&lt;=H11,"Value / Buy",IF(F11&lt;=I11,"Fair Value / Hold",IF(F11&lt;=J11,"Fully Valued / Trim","Overvalued / Sell")))))</f>
        <v>0</v>
      </c>
      <c r="O11" s="16">
        <f>IF(OR(F11="",F11=0),"N/A",ROUND((L11-F11)/F11*100,1))</f>
        <v>0</v>
      </c>
      <c r="P11" s="19" t="s">
        <v>87</v>
      </c>
    </row>
    <row r="12" spans="1:16" ht="22" customHeight="1">
      <c r="A12" s="20">
        <v>10</v>
      </c>
      <c r="B12" s="21" t="s">
        <v>88</v>
      </c>
      <c r="C12" s="20" t="s">
        <v>89</v>
      </c>
      <c r="D12" s="20" t="s">
        <v>57</v>
      </c>
      <c r="E12" s="20" t="s">
        <v>90</v>
      </c>
      <c r="F12" s="22"/>
      <c r="G12" s="22">
        <v>103</v>
      </c>
      <c r="H12" s="22">
        <v>150</v>
      </c>
      <c r="I12" s="22">
        <v>183</v>
      </c>
      <c r="J12" s="22">
        <v>230</v>
      </c>
      <c r="K12" s="22">
        <v>103</v>
      </c>
      <c r="L12" s="22">
        <v>183</v>
      </c>
      <c r="M12" s="22">
        <v>289</v>
      </c>
      <c r="N12" s="20">
        <f>IF(F12="","Enter Price",IF(F12&lt;=G12,"Deep Value / Strong Buy",IF(F12&lt;=H12,"Value / Buy",IF(F12&lt;=I12,"Fair Value / Hold",IF(F12&lt;=J12,"Fully Valued / Trim","Overvalued / Sell")))))</f>
        <v>0</v>
      </c>
      <c r="O12" s="20">
        <f>IF(OR(F12="",F12=0),"N/A",ROUND((L12-F12)/F12*100,1))</f>
        <v>0</v>
      </c>
      <c r="P12" s="23" t="s">
        <v>91</v>
      </c>
    </row>
    <row r="13" spans="1:16" ht="22" customHeight="1">
      <c r="A13" s="16">
        <v>11</v>
      </c>
      <c r="B13" s="17" t="s">
        <v>92</v>
      </c>
      <c r="C13" s="16" t="s">
        <v>93</v>
      </c>
      <c r="D13" s="16" t="s">
        <v>57</v>
      </c>
      <c r="E13" s="16" t="s">
        <v>94</v>
      </c>
      <c r="F13" s="18"/>
      <c r="G13" s="18">
        <v>180</v>
      </c>
      <c r="H13" s="18">
        <v>230</v>
      </c>
      <c r="I13" s="18">
        <v>307</v>
      </c>
      <c r="J13" s="18">
        <v>370</v>
      </c>
      <c r="K13" s="18">
        <v>230</v>
      </c>
      <c r="L13" s="18">
        <v>307</v>
      </c>
      <c r="M13" s="18">
        <v>400</v>
      </c>
      <c r="N13" s="16">
        <f>IF(F13="","Enter Price",IF(F13&lt;=G13,"Deep Value / Strong Buy",IF(F13&lt;=H13,"Value / Buy",IF(F13&lt;=I13,"Fair Value / Hold",IF(F13&lt;=J13,"Fully Valued / Trim","Overvalued / Sell")))))</f>
        <v>0</v>
      </c>
      <c r="O13" s="16">
        <f>IF(OR(F13="",F13=0),"N/A",ROUND((L13-F13)/F13*100,1))</f>
        <v>0</v>
      </c>
      <c r="P13" s="19" t="s">
        <v>95</v>
      </c>
    </row>
    <row r="14" spans="1:16" ht="22" customHeight="1">
      <c r="A14" s="20">
        <v>12</v>
      </c>
      <c r="B14" s="21" t="s">
        <v>96</v>
      </c>
      <c r="C14" s="20" t="s">
        <v>97</v>
      </c>
      <c r="D14" s="20" t="s">
        <v>57</v>
      </c>
      <c r="E14" s="20" t="s">
        <v>90</v>
      </c>
      <c r="F14" s="22"/>
      <c r="G14" s="22">
        <v>120</v>
      </c>
      <c r="H14" s="22">
        <v>150</v>
      </c>
      <c r="I14" s="22">
        <v>185</v>
      </c>
      <c r="J14" s="22">
        <v>220</v>
      </c>
      <c r="K14" s="22">
        <v>150</v>
      </c>
      <c r="L14" s="22">
        <v>185</v>
      </c>
      <c r="M14" s="22">
        <v>230</v>
      </c>
      <c r="N14" s="20">
        <f>IF(F14="","Enter Price",IF(F14&lt;=G14,"Deep Value / Strong Buy",IF(F14&lt;=H14,"Value / Buy",IF(F14&lt;=I14,"Fair Value / Hold",IF(F14&lt;=J14,"Fully Valued / Trim","Overvalued / Sell")))))</f>
        <v>0</v>
      </c>
      <c r="O14" s="20">
        <f>IF(OR(F14="",F14=0),"N/A",ROUND((L14-F14)/F14*100,1))</f>
        <v>0</v>
      </c>
      <c r="P14" s="23" t="s">
        <v>98</v>
      </c>
    </row>
    <row r="15" spans="1:16" ht="22" customHeight="1">
      <c r="A15" s="16">
        <v>13</v>
      </c>
      <c r="B15" s="17" t="s">
        <v>99</v>
      </c>
      <c r="C15" s="16" t="s">
        <v>100</v>
      </c>
      <c r="D15" s="16" t="s">
        <v>57</v>
      </c>
      <c r="E15" s="16" t="s">
        <v>101</v>
      </c>
      <c r="F15" s="18"/>
      <c r="G15" s="18">
        <v>200</v>
      </c>
      <c r="H15" s="18">
        <v>280</v>
      </c>
      <c r="I15" s="18">
        <v>374</v>
      </c>
      <c r="J15" s="18">
        <v>450</v>
      </c>
      <c r="K15" s="18">
        <v>223</v>
      </c>
      <c r="L15" s="18">
        <v>374</v>
      </c>
      <c r="M15" s="18">
        <v>530</v>
      </c>
      <c r="N15" s="16">
        <f>IF(F15="","Enter Price",IF(F15&lt;=G15,"Deep Value / Strong Buy",IF(F15&lt;=H15,"Value / Buy",IF(F15&lt;=I15,"Fair Value / Hold",IF(F15&lt;=J15,"Fully Valued / Trim","Overvalued / Sell")))))</f>
        <v>0</v>
      </c>
      <c r="O15" s="16">
        <f>IF(OR(F15="",F15=0),"N/A",ROUND((L15-F15)/F15*100,1))</f>
        <v>0</v>
      </c>
      <c r="P15" s="19" t="s">
        <v>102</v>
      </c>
    </row>
    <row r="16" spans="1:16" ht="22" customHeight="1">
      <c r="A16" s="20">
        <v>14</v>
      </c>
      <c r="B16" s="21" t="s">
        <v>103</v>
      </c>
      <c r="C16" s="20" t="s">
        <v>104</v>
      </c>
      <c r="D16" s="20" t="s">
        <v>57</v>
      </c>
      <c r="E16" s="20" t="s">
        <v>105</v>
      </c>
      <c r="F16" s="22"/>
      <c r="G16" s="22">
        <v>1200</v>
      </c>
      <c r="H16" s="22">
        <v>1500</v>
      </c>
      <c r="I16" s="22">
        <v>1800</v>
      </c>
      <c r="J16" s="22">
        <v>2200</v>
      </c>
      <c r="K16" s="22">
        <v>1400</v>
      </c>
      <c r="L16" s="22">
        <v>3572</v>
      </c>
      <c r="M16" s="22">
        <v>4500</v>
      </c>
      <c r="N16" s="20">
        <f>IF(F16="","Enter Price",IF(F16&lt;=G16,"Deep Value / Strong Buy",IF(F16&lt;=H16,"Value / Buy",IF(F16&lt;=I16,"Fair Value / Hold",IF(F16&lt;=J16,"Fully Valued / Trim","Overvalued / Sell")))))</f>
        <v>0</v>
      </c>
      <c r="O16" s="20">
        <f>IF(OR(F16="",F16=0),"N/A",ROUND((L16-F16)/F16*100,1))</f>
        <v>0</v>
      </c>
      <c r="P16" s="23" t="s">
        <v>106</v>
      </c>
    </row>
    <row r="17" spans="1:16" ht="22" customHeight="1">
      <c r="A17" s="16">
        <v>15</v>
      </c>
      <c r="B17" s="17" t="s">
        <v>107</v>
      </c>
      <c r="C17" s="16" t="s">
        <v>108</v>
      </c>
      <c r="D17" s="16" t="s">
        <v>57</v>
      </c>
      <c r="E17" s="16" t="s">
        <v>109</v>
      </c>
      <c r="F17" s="18"/>
      <c r="G17" s="18">
        <v>95</v>
      </c>
      <c r="H17" s="18">
        <v>119</v>
      </c>
      <c r="I17" s="18">
        <v>187</v>
      </c>
      <c r="J17" s="18">
        <v>259</v>
      </c>
      <c r="K17" s="18">
        <v>119</v>
      </c>
      <c r="L17" s="18">
        <v>259</v>
      </c>
      <c r="M17" s="18">
        <v>350</v>
      </c>
      <c r="N17" s="16">
        <f>IF(F17="","Enter Price",IF(F17&lt;=G17,"Deep Value / Strong Buy",IF(F17&lt;=H17,"Value / Buy",IF(F17&lt;=I17,"Fair Value / Hold",IF(F17&lt;=J17,"Fully Valued / Trim","Overvalued / Sell")))))</f>
        <v>0</v>
      </c>
      <c r="O17" s="16">
        <f>IF(OR(F17="",F17=0),"N/A",ROUND((L17-F17)/F17*100,1))</f>
        <v>0</v>
      </c>
      <c r="P17" s="19" t="s">
        <v>110</v>
      </c>
    </row>
    <row r="18" spans="1:16" ht="22" customHeight="1">
      <c r="A18" s="20">
        <v>16</v>
      </c>
      <c r="B18" s="21" t="s">
        <v>111</v>
      </c>
      <c r="C18" s="20" t="s">
        <v>112</v>
      </c>
      <c r="D18" s="20" t="s">
        <v>57</v>
      </c>
      <c r="E18" s="20" t="s">
        <v>66</v>
      </c>
      <c r="F18" s="22"/>
      <c r="G18" s="22">
        <v>90</v>
      </c>
      <c r="H18" s="22">
        <v>120</v>
      </c>
      <c r="I18" s="22">
        <v>160</v>
      </c>
      <c r="J18" s="22">
        <v>200</v>
      </c>
      <c r="K18" s="22">
        <v>120</v>
      </c>
      <c r="L18" s="22">
        <v>160</v>
      </c>
      <c r="M18" s="22">
        <v>220</v>
      </c>
      <c r="N18" s="20">
        <f>IF(F18="","Enter Price",IF(F18&lt;=G18,"Deep Value / Strong Buy",IF(F18&lt;=H18,"Value / Buy",IF(F18&lt;=I18,"Fair Value / Hold",IF(F18&lt;=J18,"Fully Valued / Trim","Overvalued / Sell")))))</f>
        <v>0</v>
      </c>
      <c r="O18" s="20">
        <f>IF(OR(F18="",F18=0),"N/A",ROUND((L18-F18)/F18*100,1))</f>
        <v>0</v>
      </c>
      <c r="P18" s="23" t="s">
        <v>113</v>
      </c>
    </row>
    <row r="19" spans="1:16" ht="22" customHeight="1">
      <c r="A19" s="16">
        <v>17</v>
      </c>
      <c r="B19" s="17" t="s">
        <v>114</v>
      </c>
      <c r="C19" s="16" t="s">
        <v>115</v>
      </c>
      <c r="D19" s="16" t="s">
        <v>57</v>
      </c>
      <c r="E19" s="16" t="s">
        <v>116</v>
      </c>
      <c r="F19" s="18"/>
      <c r="G19" s="18">
        <v>1200</v>
      </c>
      <c r="H19" s="18">
        <v>1565</v>
      </c>
      <c r="I19" s="18">
        <v>1947</v>
      </c>
      <c r="J19" s="18">
        <v>2500</v>
      </c>
      <c r="K19" s="18">
        <v>1947</v>
      </c>
      <c r="L19" s="18">
        <v>2700</v>
      </c>
      <c r="M19" s="18">
        <v>3452</v>
      </c>
      <c r="N19" s="16">
        <f>IF(F19="","Enter Price",IF(F19&lt;=G19,"Deep Value / Strong Buy",IF(F19&lt;=H19,"Value / Buy",IF(F19&lt;=I19,"Fair Value / Hold",IF(F19&lt;=J19,"Fully Valued / Trim","Overvalued / Sell")))))</f>
        <v>0</v>
      </c>
      <c r="O19" s="16">
        <f>IF(OR(F19="",F19=0),"N/A",ROUND((L19-F19)/F19*100,1))</f>
        <v>0</v>
      </c>
      <c r="P19" s="19" t="s">
        <v>117</v>
      </c>
    </row>
    <row r="20" spans="1:16" ht="22" customHeight="1">
      <c r="A20" s="20">
        <v>18</v>
      </c>
      <c r="B20" s="21" t="s">
        <v>118</v>
      </c>
      <c r="C20" s="20" t="s">
        <v>119</v>
      </c>
      <c r="D20" s="20" t="s">
        <v>57</v>
      </c>
      <c r="E20" s="20" t="s">
        <v>53</v>
      </c>
      <c r="F20" s="22"/>
      <c r="G20" s="22">
        <v>120</v>
      </c>
      <c r="H20" s="22">
        <v>150</v>
      </c>
      <c r="I20" s="22">
        <v>190</v>
      </c>
      <c r="J20" s="22">
        <v>216</v>
      </c>
      <c r="K20" s="22">
        <v>150</v>
      </c>
      <c r="L20" s="22">
        <v>216</v>
      </c>
      <c r="M20" s="22">
        <v>250</v>
      </c>
      <c r="N20" s="20">
        <f>IF(F20="","Enter Price",IF(F20&lt;=G20,"Deep Value / Strong Buy",IF(F20&lt;=H20,"Value / Buy",IF(F20&lt;=I20,"Fair Value / Hold",IF(F20&lt;=J20,"Fully Valued / Trim","Overvalued / Sell")))))</f>
        <v>0</v>
      </c>
      <c r="O20" s="20">
        <f>IF(OR(F20="",F20=0),"N/A",ROUND((L20-F20)/F20*100,1))</f>
        <v>0</v>
      </c>
      <c r="P20" s="23" t="s">
        <v>120</v>
      </c>
    </row>
    <row r="21" spans="1:16" ht="22" customHeight="1">
      <c r="A21" s="16">
        <v>19</v>
      </c>
      <c r="B21" s="17" t="s">
        <v>121</v>
      </c>
      <c r="C21" s="16" t="s">
        <v>122</v>
      </c>
      <c r="D21" s="16" t="s">
        <v>57</v>
      </c>
      <c r="E21" s="16" t="s">
        <v>123</v>
      </c>
      <c r="F21" s="18"/>
      <c r="G21" s="18">
        <v>1000</v>
      </c>
      <c r="H21" s="18">
        <v>1350</v>
      </c>
      <c r="I21" s="18">
        <v>2000</v>
      </c>
      <c r="J21" s="18">
        <v>2315</v>
      </c>
      <c r="K21" s="18">
        <v>1349</v>
      </c>
      <c r="L21" s="18">
        <v>2315</v>
      </c>
      <c r="M21" s="18">
        <v>2800</v>
      </c>
      <c r="N21" s="16">
        <f>IF(F21="","Enter Price",IF(F21&lt;=G21,"Deep Value / Strong Buy",IF(F21&lt;=H21,"Value / Buy",IF(F21&lt;=I21,"Fair Value / Hold",IF(F21&lt;=J21,"Fully Valued / Trim","Overvalued / Sell")))))</f>
        <v>0</v>
      </c>
      <c r="O21" s="16">
        <f>IF(OR(F21="",F21=0),"N/A",ROUND((L21-F21)/F21*100,1))</f>
        <v>0</v>
      </c>
      <c r="P21" s="19" t="s">
        <v>124</v>
      </c>
    </row>
    <row r="22" spans="1:16" ht="22" customHeight="1">
      <c r="A22" s="20">
        <v>20</v>
      </c>
      <c r="B22" s="21" t="s">
        <v>125</v>
      </c>
      <c r="C22" s="20" t="s">
        <v>126</v>
      </c>
      <c r="D22" s="20" t="s">
        <v>57</v>
      </c>
      <c r="E22" s="20" t="s">
        <v>127</v>
      </c>
      <c r="F22" s="22"/>
      <c r="G22" s="22">
        <v>300</v>
      </c>
      <c r="H22" s="22">
        <v>400</v>
      </c>
      <c r="I22" s="22">
        <v>491</v>
      </c>
      <c r="J22" s="22">
        <v>600</v>
      </c>
      <c r="K22" s="22">
        <v>491</v>
      </c>
      <c r="L22" s="22">
        <v>693</v>
      </c>
      <c r="M22" s="22">
        <v>850</v>
      </c>
      <c r="N22" s="20">
        <f>IF(F22="","Enter Price",IF(F22&lt;=G22,"Deep Value / Strong Buy",IF(F22&lt;=H22,"Value / Buy",IF(F22&lt;=I22,"Fair Value / Hold",IF(F22&lt;=J22,"Fully Valued / Trim","Overvalued / Sell")))))</f>
        <v>0</v>
      </c>
      <c r="O22" s="20">
        <f>IF(OR(F22="",F22=0),"N/A",ROUND((L22-F22)/F22*100,1))</f>
        <v>0</v>
      </c>
      <c r="P22" s="23" t="s">
        <v>128</v>
      </c>
    </row>
    <row r="23" spans="1:16" ht="22" customHeight="1">
      <c r="A23" s="16">
        <v>21</v>
      </c>
      <c r="B23" s="17" t="s">
        <v>129</v>
      </c>
      <c r="C23" s="16" t="s">
        <v>130</v>
      </c>
      <c r="D23" s="16" t="s">
        <v>57</v>
      </c>
      <c r="E23" s="16" t="s">
        <v>131</v>
      </c>
      <c r="F23" s="18"/>
      <c r="G23" s="18">
        <v>1100</v>
      </c>
      <c r="H23" s="18">
        <v>1370</v>
      </c>
      <c r="I23" s="18">
        <v>1615</v>
      </c>
      <c r="J23" s="18">
        <v>1960</v>
      </c>
      <c r="K23" s="18">
        <v>1302</v>
      </c>
      <c r="L23" s="18">
        <v>1615</v>
      </c>
      <c r="M23" s="18">
        <v>1960</v>
      </c>
      <c r="N23" s="16">
        <f>IF(F23="","Enter Price",IF(F23&lt;=G23,"Deep Value / Strong Buy",IF(F23&lt;=H23,"Value / Buy",IF(F23&lt;=I23,"Fair Value / Hold",IF(F23&lt;=J23,"Fully Valued / Trim","Overvalued / Sell")))))</f>
        <v>0</v>
      </c>
      <c r="O23" s="16">
        <f>IF(OR(F23="",F23=0),"N/A",ROUND((L23-F23)/F23*100,1))</f>
        <v>0</v>
      </c>
      <c r="P23" s="19" t="s">
        <v>132</v>
      </c>
    </row>
    <row r="24" spans="1:16" ht="22" customHeight="1">
      <c r="A24" s="20">
        <v>22</v>
      </c>
      <c r="B24" s="21" t="s">
        <v>133</v>
      </c>
      <c r="C24" s="20" t="s">
        <v>133</v>
      </c>
      <c r="D24" s="20" t="s">
        <v>57</v>
      </c>
      <c r="E24" s="20" t="s">
        <v>127</v>
      </c>
      <c r="F24" s="22"/>
      <c r="G24" s="22">
        <v>2500</v>
      </c>
      <c r="H24" s="22">
        <v>3200</v>
      </c>
      <c r="I24" s="22">
        <v>3800</v>
      </c>
      <c r="J24" s="22">
        <v>4200</v>
      </c>
      <c r="K24" s="22">
        <v>3218</v>
      </c>
      <c r="L24" s="22">
        <v>3800</v>
      </c>
      <c r="M24" s="22">
        <v>4500</v>
      </c>
      <c r="N24" s="20">
        <f>IF(F24="","Enter Price",IF(F24&lt;=G24,"Deep Value / Strong Buy",IF(F24&lt;=H24,"Value / Buy",IF(F24&lt;=I24,"Fair Value / Hold",IF(F24&lt;=J24,"Fully Valued / Trim","Overvalued / Sell")))))</f>
        <v>0</v>
      </c>
      <c r="O24" s="20">
        <f>IF(OR(F24="",F24=0),"N/A",ROUND((L24-F24)/F24*100,1))</f>
        <v>0</v>
      </c>
      <c r="P24" s="23" t="s">
        <v>134</v>
      </c>
    </row>
    <row r="25" spans="1:16" ht="22" customHeight="1">
      <c r="A25" s="16">
        <v>23</v>
      </c>
      <c r="B25" s="17" t="s">
        <v>135</v>
      </c>
      <c r="C25" s="16" t="s">
        <v>136</v>
      </c>
      <c r="D25" s="16" t="s">
        <v>57</v>
      </c>
      <c r="E25" s="16" t="s">
        <v>137</v>
      </c>
      <c r="F25" s="18"/>
      <c r="G25" s="18">
        <v>0</v>
      </c>
      <c r="H25" s="18">
        <v>0</v>
      </c>
      <c r="I25" s="18">
        <v>0</v>
      </c>
      <c r="J25" s="18">
        <v>0</v>
      </c>
      <c r="K25" s="18">
        <v>15</v>
      </c>
      <c r="L25" s="18">
        <v>25</v>
      </c>
      <c r="M25" s="18">
        <v>30</v>
      </c>
      <c r="N25" s="16" t="s">
        <v>138</v>
      </c>
      <c r="O25" s="16">
        <f>IF(OR(F25="",F25=0),"N/A",ROUND((L25-F25)/F25*100,1))</f>
        <v>0</v>
      </c>
      <c r="P25" s="19" t="s">
        <v>139</v>
      </c>
    </row>
    <row r="26" spans="1:16" ht="22" customHeight="1">
      <c r="A26" s="20">
        <v>24</v>
      </c>
      <c r="B26" s="21" t="s">
        <v>140</v>
      </c>
      <c r="C26" s="20" t="s">
        <v>141</v>
      </c>
      <c r="D26" s="20" t="s">
        <v>57</v>
      </c>
      <c r="E26" s="20" t="s">
        <v>142</v>
      </c>
      <c r="F26" s="22"/>
      <c r="G26" s="22">
        <v>200</v>
      </c>
      <c r="H26" s="22">
        <v>280</v>
      </c>
      <c r="I26" s="22">
        <v>346</v>
      </c>
      <c r="J26" s="22">
        <v>420</v>
      </c>
      <c r="K26" s="22">
        <v>199</v>
      </c>
      <c r="L26" s="22">
        <v>280</v>
      </c>
      <c r="M26" s="22">
        <v>346</v>
      </c>
      <c r="N26" s="20">
        <f>IF(F26="","Enter Price",IF(F26&lt;=G26,"Deep Value / Strong Buy",IF(F26&lt;=H26,"Value / Buy",IF(F26&lt;=I26,"Fair Value / Hold",IF(F26&lt;=J26,"Fully Valued / Trim","Overvalued / Sell")))))</f>
        <v>0</v>
      </c>
      <c r="O26" s="20">
        <f>IF(OR(F26="",F26=0),"N/A",ROUND((L26-F26)/F26*100,1))</f>
        <v>0</v>
      </c>
      <c r="P26" s="23" t="s">
        <v>143</v>
      </c>
    </row>
    <row r="27" spans="1:16" ht="22" customHeight="1">
      <c r="A27" s="16">
        <v>25</v>
      </c>
      <c r="B27" s="17" t="s">
        <v>144</v>
      </c>
      <c r="C27" s="16" t="s">
        <v>145</v>
      </c>
      <c r="D27" s="16" t="s">
        <v>57</v>
      </c>
      <c r="E27" s="16" t="s">
        <v>82</v>
      </c>
      <c r="F27" s="18"/>
      <c r="G27" s="18">
        <v>1000</v>
      </c>
      <c r="H27" s="18">
        <v>1500</v>
      </c>
      <c r="I27" s="18">
        <v>2200</v>
      </c>
      <c r="J27" s="18">
        <v>3000</v>
      </c>
      <c r="K27" s="18">
        <v>1200</v>
      </c>
      <c r="L27" s="18">
        <v>1500</v>
      </c>
      <c r="M27" s="18">
        <v>2200</v>
      </c>
      <c r="N27" s="16">
        <f>IF(F27="","Enter Price",IF(F27&lt;=G27,"Deep Value / Strong Buy",IF(F27&lt;=H27,"Value / Buy",IF(F27&lt;=I27,"Fair Value / Hold",IF(F27&lt;=J27,"Fully Valued / Trim","Overvalued / Sell")))))</f>
        <v>0</v>
      </c>
      <c r="O27" s="16">
        <f>IF(OR(F27="",F27=0),"N/A",ROUND((L27-F27)/F27*100,1))</f>
        <v>0</v>
      </c>
      <c r="P27" s="19" t="s">
        <v>146</v>
      </c>
    </row>
    <row r="28" spans="1:16" ht="22" customHeight="1">
      <c r="A28" s="20">
        <v>26</v>
      </c>
      <c r="B28" s="21" t="s">
        <v>147</v>
      </c>
      <c r="C28" s="20" t="s">
        <v>148</v>
      </c>
      <c r="D28" s="20" t="s">
        <v>52</v>
      </c>
      <c r="E28" s="20" t="s">
        <v>116</v>
      </c>
      <c r="F28" s="22"/>
      <c r="G28" s="22">
        <v>70</v>
      </c>
      <c r="H28" s="22">
        <v>90</v>
      </c>
      <c r="I28" s="22">
        <v>110</v>
      </c>
      <c r="J28" s="22">
        <v>130</v>
      </c>
      <c r="K28" s="22">
        <v>99</v>
      </c>
      <c r="L28" s="22">
        <v>130</v>
      </c>
      <c r="M28" s="22">
        <v>160</v>
      </c>
      <c r="N28" s="20">
        <f>IF(F28="","Enter Price",IF(F28&lt;=G28,"Deep Value / Strong Buy",IF(F28&lt;=H28,"Value / Buy",IF(F28&lt;=I28,"Fair Value / Hold",IF(F28&lt;=J28,"Fully Valued / Trim","Overvalued / Sell")))))</f>
        <v>0</v>
      </c>
      <c r="O28" s="20">
        <f>IF(OR(F28="",F28=0),"N/A",ROUND((L28-F28)/F28*100,1))</f>
        <v>0</v>
      </c>
      <c r="P28" s="23" t="s">
        <v>149</v>
      </c>
    </row>
    <row r="29" spans="1:16" ht="22" customHeight="1">
      <c r="A29" s="16">
        <v>27</v>
      </c>
      <c r="B29" s="17" t="s">
        <v>150</v>
      </c>
      <c r="C29" s="16" t="s">
        <v>151</v>
      </c>
      <c r="D29" s="16" t="s">
        <v>57</v>
      </c>
      <c r="E29" s="16" t="s">
        <v>152</v>
      </c>
      <c r="F29" s="18"/>
      <c r="G29" s="18">
        <v>120</v>
      </c>
      <c r="H29" s="18">
        <v>178</v>
      </c>
      <c r="I29" s="18">
        <v>252</v>
      </c>
      <c r="J29" s="18">
        <v>400</v>
      </c>
      <c r="K29" s="18">
        <v>252</v>
      </c>
      <c r="L29" s="18">
        <v>560</v>
      </c>
      <c r="M29" s="18">
        <v>800</v>
      </c>
      <c r="N29" s="16">
        <f>IF(F29="","Enter Price",IF(F29&lt;=G29,"Deep Value / Strong Buy",IF(F29&lt;=H29,"Value / Buy",IF(F29&lt;=I29,"Fair Value / Hold",IF(F29&lt;=J29,"Fully Valued / Trim","Overvalued / Sell")))))</f>
        <v>0</v>
      </c>
      <c r="O29" s="16">
        <f>IF(OR(F29="",F29=0),"N/A",ROUND((L29-F29)/F29*100,1))</f>
        <v>0</v>
      </c>
      <c r="P29" s="19" t="s">
        <v>153</v>
      </c>
    </row>
    <row r="30" spans="1:16" ht="22" customHeight="1">
      <c r="A30" s="20">
        <v>28</v>
      </c>
      <c r="B30" s="21" t="s">
        <v>154</v>
      </c>
      <c r="C30" s="20" t="s">
        <v>155</v>
      </c>
      <c r="D30" s="20" t="s">
        <v>52</v>
      </c>
      <c r="E30" s="20" t="s">
        <v>156</v>
      </c>
      <c r="F30" s="22"/>
      <c r="G30" s="22">
        <v>40</v>
      </c>
      <c r="H30" s="22">
        <v>60</v>
      </c>
      <c r="I30" s="22">
        <v>100</v>
      </c>
      <c r="J30" s="22">
        <v>165</v>
      </c>
      <c r="K30" s="22">
        <v>80</v>
      </c>
      <c r="L30" s="22">
        <v>130</v>
      </c>
      <c r="M30" s="22">
        <v>211</v>
      </c>
      <c r="N30" s="20">
        <f>IF(F30="","Enter Price",IF(F30&lt;=G30,"Deep Value / Strong Buy",IF(F30&lt;=H30,"Value / Buy",IF(F30&lt;=I30,"Fair Value / Hold",IF(F30&lt;=J30,"Fully Valued / Trim","Overvalued / Sell")))))</f>
        <v>0</v>
      </c>
      <c r="O30" s="20">
        <f>IF(OR(F30="",F30=0),"N/A",ROUND((L30-F30)/F30*100,1))</f>
        <v>0</v>
      </c>
      <c r="P30" s="23" t="s">
        <v>157</v>
      </c>
    </row>
    <row r="31" spans="1:16" ht="22" customHeight="1">
      <c r="A31" s="16">
        <v>29</v>
      </c>
      <c r="B31" s="17" t="s">
        <v>158</v>
      </c>
      <c r="C31" s="16" t="s">
        <v>159</v>
      </c>
      <c r="D31" s="16" t="s">
        <v>57</v>
      </c>
      <c r="E31" s="16" t="s">
        <v>131</v>
      </c>
      <c r="F31" s="18"/>
      <c r="G31" s="18">
        <v>147</v>
      </c>
      <c r="H31" s="18">
        <v>206</v>
      </c>
      <c r="I31" s="18">
        <v>265</v>
      </c>
      <c r="J31" s="18">
        <v>310</v>
      </c>
      <c r="K31" s="18">
        <v>206</v>
      </c>
      <c r="L31" s="18">
        <v>265</v>
      </c>
      <c r="M31" s="18">
        <v>330</v>
      </c>
      <c r="N31" s="16">
        <f>IF(F31="","Enter Price",IF(F31&lt;=G31,"Deep Value / Strong Buy",IF(F31&lt;=H31,"Value / Buy",IF(F31&lt;=I31,"Fair Value / Hold",IF(F31&lt;=J31,"Fully Valued / Trim","Overvalued / Sell")))))</f>
        <v>0</v>
      </c>
      <c r="O31" s="16">
        <f>IF(OR(F31="",F31=0),"N/A",ROUND((L31-F31)/F31*100,1))</f>
        <v>0</v>
      </c>
      <c r="P31" s="19" t="s">
        <v>160</v>
      </c>
    </row>
    <row r="32" spans="1:16" ht="22" customHeight="1">
      <c r="A32" s="20">
        <v>30</v>
      </c>
      <c r="B32" s="21" t="s">
        <v>161</v>
      </c>
      <c r="C32" s="20" t="s">
        <v>162</v>
      </c>
      <c r="D32" s="20" t="s">
        <v>57</v>
      </c>
      <c r="E32" s="20" t="s">
        <v>163</v>
      </c>
      <c r="F32" s="22"/>
      <c r="G32" s="22">
        <v>10500</v>
      </c>
      <c r="H32" s="22">
        <v>14000</v>
      </c>
      <c r="I32" s="22">
        <v>18096</v>
      </c>
      <c r="J32" s="22">
        <v>22000</v>
      </c>
      <c r="K32" s="22">
        <v>10523</v>
      </c>
      <c r="L32" s="22">
        <v>18096</v>
      </c>
      <c r="M32" s="22">
        <v>29287</v>
      </c>
      <c r="N32" s="20">
        <f>IF(F32="","Enter Price",IF(F32&lt;=G32,"Deep Value / Strong Buy",IF(F32&lt;=H32,"Value / Buy",IF(F32&lt;=I32,"Fair Value / Hold",IF(F32&lt;=J32,"Fully Valued / Trim","Overvalued / Sell")))))</f>
        <v>0</v>
      </c>
      <c r="O32" s="20">
        <f>IF(OR(F32="",F32=0),"N/A",ROUND((L32-F32)/F32*100,1))</f>
        <v>0</v>
      </c>
      <c r="P32" s="23" t="s">
        <v>164</v>
      </c>
    </row>
    <row r="33" spans="1:16" ht="22" customHeight="1">
      <c r="A33" s="16">
        <v>31</v>
      </c>
      <c r="B33" s="17" t="s">
        <v>165</v>
      </c>
      <c r="C33" s="16" t="s">
        <v>166</v>
      </c>
      <c r="D33" s="16" t="s">
        <v>57</v>
      </c>
      <c r="E33" s="16" t="s">
        <v>167</v>
      </c>
      <c r="F33" s="18"/>
      <c r="G33" s="18">
        <v>350</v>
      </c>
      <c r="H33" s="18">
        <v>500</v>
      </c>
      <c r="I33" s="18">
        <v>624</v>
      </c>
      <c r="J33" s="18">
        <v>800</v>
      </c>
      <c r="K33" s="18">
        <v>400</v>
      </c>
      <c r="L33" s="18">
        <v>624</v>
      </c>
      <c r="M33" s="18">
        <v>900</v>
      </c>
      <c r="N33" s="16">
        <f>IF(F33="","Enter Price",IF(F33&lt;=G33,"Deep Value / Strong Buy",IF(F33&lt;=H33,"Value / Buy",IF(F33&lt;=I33,"Fair Value / Hold",IF(F33&lt;=J33,"Fully Valued / Trim","Overvalued / Sell")))))</f>
        <v>0</v>
      </c>
      <c r="O33" s="16">
        <f>IF(OR(F33="",F33=0),"N/A",ROUND((L33-F33)/F33*100,1))</f>
        <v>0</v>
      </c>
      <c r="P33" s="19" t="s">
        <v>168</v>
      </c>
    </row>
    <row r="34" spans="1:16" ht="22" customHeight="1">
      <c r="A34" s="20">
        <v>32</v>
      </c>
      <c r="B34" s="21" t="s">
        <v>169</v>
      </c>
      <c r="C34" s="20" t="s">
        <v>170</v>
      </c>
      <c r="D34" s="20" t="s">
        <v>57</v>
      </c>
      <c r="E34" s="20" t="s">
        <v>101</v>
      </c>
      <c r="F34" s="22"/>
      <c r="G34" s="22">
        <v>4500</v>
      </c>
      <c r="H34" s="22">
        <v>5864</v>
      </c>
      <c r="I34" s="22">
        <v>7000</v>
      </c>
      <c r="J34" s="22">
        <v>8000</v>
      </c>
      <c r="K34" s="22">
        <v>5864</v>
      </c>
      <c r="L34" s="22">
        <v>7000</v>
      </c>
      <c r="M34" s="22">
        <v>8500</v>
      </c>
      <c r="N34" s="20">
        <f>IF(F34="","Enter Price",IF(F34&lt;=G34,"Deep Value / Strong Buy",IF(F34&lt;=H34,"Value / Buy",IF(F34&lt;=I34,"Fair Value / Hold",IF(F34&lt;=J34,"Fully Valued / Trim","Overvalued / Sell")))))</f>
        <v>0</v>
      </c>
      <c r="O34" s="20">
        <f>IF(OR(F34="",F34=0),"N/A",ROUND((L34-F34)/F34*100,1))</f>
        <v>0</v>
      </c>
      <c r="P34" s="23" t="s">
        <v>171</v>
      </c>
    </row>
    <row r="35" spans="1:16" ht="22" customHeight="1">
      <c r="A35" s="16">
        <v>33</v>
      </c>
      <c r="B35" s="17" t="s">
        <v>172</v>
      </c>
      <c r="C35" s="16" t="s">
        <v>173</v>
      </c>
      <c r="D35" s="16" t="s">
        <v>57</v>
      </c>
      <c r="E35" s="16" t="s">
        <v>174</v>
      </c>
      <c r="F35" s="18"/>
      <c r="G35" s="18">
        <v>550</v>
      </c>
      <c r="H35" s="18">
        <v>728</v>
      </c>
      <c r="I35" s="18">
        <v>910</v>
      </c>
      <c r="J35" s="18">
        <v>1050</v>
      </c>
      <c r="K35" s="18">
        <v>728</v>
      </c>
      <c r="L35" s="18">
        <v>910</v>
      </c>
      <c r="M35" s="18">
        <v>1200</v>
      </c>
      <c r="N35" s="16">
        <f>IF(F35="","Enter Price",IF(F35&lt;=G35,"Deep Value / Strong Buy",IF(F35&lt;=H35,"Value / Buy",IF(F35&lt;=I35,"Fair Value / Hold",IF(F35&lt;=J35,"Fully Valued / Trim","Overvalued / Sell")))))</f>
        <v>0</v>
      </c>
      <c r="O35" s="16">
        <f>IF(OR(F35="",F35=0),"N/A",ROUND((L35-F35)/F35*100,1))</f>
        <v>0</v>
      </c>
      <c r="P35" s="19" t="s">
        <v>175</v>
      </c>
    </row>
    <row r="36" spans="1:16" ht="22" customHeight="1">
      <c r="A36" s="20">
        <v>34</v>
      </c>
      <c r="B36" s="21" t="s">
        <v>176</v>
      </c>
      <c r="C36" s="20" t="s">
        <v>177</v>
      </c>
      <c r="D36" s="20" t="s">
        <v>57</v>
      </c>
      <c r="E36" s="20" t="s">
        <v>178</v>
      </c>
      <c r="F36" s="22"/>
      <c r="G36" s="22">
        <v>1150</v>
      </c>
      <c r="H36" s="22">
        <v>1470</v>
      </c>
      <c r="I36" s="22">
        <v>1800</v>
      </c>
      <c r="J36" s="22">
        <v>2100</v>
      </c>
      <c r="K36" s="22">
        <v>1470</v>
      </c>
      <c r="L36" s="22">
        <v>1800</v>
      </c>
      <c r="M36" s="22">
        <v>2200</v>
      </c>
      <c r="N36" s="20">
        <f>IF(F36="","Enter Price",IF(F36&lt;=G36,"Deep Value / Strong Buy",IF(F36&lt;=H36,"Value / Buy",IF(F36&lt;=I36,"Fair Value / Hold",IF(F36&lt;=J36,"Fully Valued / Trim","Overvalued / Sell")))))</f>
        <v>0</v>
      </c>
      <c r="O36" s="20">
        <f>IF(OR(F36="",F36=0),"N/A",ROUND((L36-F36)/F36*100,1))</f>
        <v>0</v>
      </c>
      <c r="P36" s="23" t="s">
        <v>179</v>
      </c>
    </row>
    <row r="37" spans="1:16" ht="22" customHeight="1">
      <c r="A37" s="16">
        <v>35</v>
      </c>
      <c r="B37" s="17" t="s">
        <v>180</v>
      </c>
      <c r="C37" s="16" t="s">
        <v>181</v>
      </c>
      <c r="D37" s="16" t="s">
        <v>57</v>
      </c>
      <c r="E37" s="16" t="s">
        <v>62</v>
      </c>
      <c r="F37" s="18"/>
      <c r="G37" s="18">
        <v>1100</v>
      </c>
      <c r="H37" s="18">
        <v>1400</v>
      </c>
      <c r="I37" s="18">
        <v>1902</v>
      </c>
      <c r="J37" s="18">
        <v>2200</v>
      </c>
      <c r="K37" s="18">
        <v>1290</v>
      </c>
      <c r="L37" s="18">
        <v>1902</v>
      </c>
      <c r="M37" s="18">
        <v>2500</v>
      </c>
      <c r="N37" s="16">
        <f>IF(F37="","Enter Price",IF(F37&lt;=G37,"Deep Value / Strong Buy",IF(F37&lt;=H37,"Value / Buy",IF(F37&lt;=I37,"Fair Value / Hold",IF(F37&lt;=J37,"Fully Valued / Trim","Overvalued / Sell")))))</f>
        <v>0</v>
      </c>
      <c r="O37" s="16">
        <f>IF(OR(F37="",F37=0),"N/A",ROUND((L37-F37)/F37*100,1))</f>
        <v>0</v>
      </c>
      <c r="P37" s="19" t="s">
        <v>182</v>
      </c>
    </row>
    <row r="38" spans="1:16" ht="22" customHeight="1">
      <c r="A38" s="20">
        <v>36</v>
      </c>
      <c r="B38" s="21" t="s">
        <v>183</v>
      </c>
      <c r="C38" s="20" t="s">
        <v>184</v>
      </c>
      <c r="D38" s="20" t="s">
        <v>57</v>
      </c>
      <c r="E38" s="20" t="s">
        <v>174</v>
      </c>
      <c r="F38" s="22"/>
      <c r="G38" s="22">
        <v>900</v>
      </c>
      <c r="H38" s="22">
        <v>1114</v>
      </c>
      <c r="I38" s="22">
        <v>1500</v>
      </c>
      <c r="J38" s="22">
        <v>1936</v>
      </c>
      <c r="K38" s="22">
        <v>1114</v>
      </c>
      <c r="L38" s="22">
        <v>1500</v>
      </c>
      <c r="M38" s="22">
        <v>2234</v>
      </c>
      <c r="N38" s="20">
        <f>IF(F38="","Enter Price",IF(F38&lt;=G38,"Deep Value / Strong Buy",IF(F38&lt;=H38,"Value / Buy",IF(F38&lt;=I38,"Fair Value / Hold",IF(F38&lt;=J38,"Fully Valued / Trim","Overvalued / Sell")))))</f>
        <v>0</v>
      </c>
      <c r="O38" s="20">
        <f>IF(OR(F38="",F38=0),"N/A",ROUND((L38-F38)/F38*100,1))</f>
        <v>0</v>
      </c>
      <c r="P38" s="23" t="s">
        <v>185</v>
      </c>
    </row>
    <row r="39" spans="1:16" ht="22" customHeight="1">
      <c r="A39" s="16">
        <v>37</v>
      </c>
      <c r="B39" s="17" t="s">
        <v>186</v>
      </c>
      <c r="C39" s="16" t="s">
        <v>187</v>
      </c>
      <c r="D39" s="16" t="s">
        <v>57</v>
      </c>
      <c r="E39" s="16" t="s">
        <v>66</v>
      </c>
      <c r="F39" s="18"/>
      <c r="G39" s="18">
        <v>1500</v>
      </c>
      <c r="H39" s="18">
        <v>2000</v>
      </c>
      <c r="I39" s="18">
        <v>2440</v>
      </c>
      <c r="J39" s="18">
        <v>3010</v>
      </c>
      <c r="K39" s="18">
        <v>2440</v>
      </c>
      <c r="L39" s="18">
        <v>3010</v>
      </c>
      <c r="M39" s="18">
        <v>3500</v>
      </c>
      <c r="N39" s="16">
        <f>IF(F39="","Enter Price",IF(F39&lt;=G39,"Deep Value / Strong Buy",IF(F39&lt;=H39,"Value / Buy",IF(F39&lt;=I39,"Fair Value / Hold",IF(F39&lt;=J39,"Fully Valued / Trim","Overvalued / Sell")))))</f>
        <v>0</v>
      </c>
      <c r="O39" s="16">
        <f>IF(OR(F39="",F39=0),"N/A",ROUND((L39-F39)/F39*100,1))</f>
        <v>0</v>
      </c>
      <c r="P39" s="19" t="s">
        <v>188</v>
      </c>
    </row>
    <row r="40" spans="1:16" ht="22" customHeight="1">
      <c r="A40" s="20">
        <v>38</v>
      </c>
      <c r="B40" s="21" t="s">
        <v>189</v>
      </c>
      <c r="C40" s="20" t="s">
        <v>190</v>
      </c>
      <c r="D40" s="20" t="s">
        <v>57</v>
      </c>
      <c r="E40" s="20" t="s">
        <v>94</v>
      </c>
      <c r="F40" s="22"/>
      <c r="G40" s="22">
        <v>500</v>
      </c>
      <c r="H40" s="22">
        <v>770</v>
      </c>
      <c r="I40" s="22">
        <v>900</v>
      </c>
      <c r="J40" s="22">
        <v>1100</v>
      </c>
      <c r="K40" s="22">
        <v>770</v>
      </c>
      <c r="L40" s="22">
        <v>900</v>
      </c>
      <c r="M40" s="22">
        <v>1500</v>
      </c>
      <c r="N40" s="20">
        <f>IF(F40="","Enter Price",IF(F40&lt;=G40,"Deep Value / Strong Buy",IF(F40&lt;=H40,"Value / Buy",IF(F40&lt;=I40,"Fair Value / Hold",IF(F40&lt;=J40,"Fully Valued / Trim","Overvalued / Sell")))))</f>
        <v>0</v>
      </c>
      <c r="O40" s="20">
        <f>IF(OR(F40="",F40=0),"N/A",ROUND((L40-F40)/F40*100,1))</f>
        <v>0</v>
      </c>
      <c r="P40" s="23" t="s">
        <v>191</v>
      </c>
    </row>
    <row r="41" spans="1:16" ht="22" customHeight="1">
      <c r="A41" s="16">
        <v>39</v>
      </c>
      <c r="B41" s="17" t="s">
        <v>192</v>
      </c>
      <c r="C41" s="16" t="s">
        <v>193</v>
      </c>
      <c r="D41" s="16" t="s">
        <v>57</v>
      </c>
      <c r="E41" s="16" t="s">
        <v>105</v>
      </c>
      <c r="F41" s="18"/>
      <c r="G41" s="18">
        <v>240</v>
      </c>
      <c r="H41" s="18">
        <v>360</v>
      </c>
      <c r="I41" s="18">
        <v>480</v>
      </c>
      <c r="J41" s="18">
        <v>611</v>
      </c>
      <c r="K41" s="18">
        <v>360</v>
      </c>
      <c r="L41" s="18">
        <v>611</v>
      </c>
      <c r="M41" s="18">
        <v>800</v>
      </c>
      <c r="N41" s="16">
        <f>IF(F41="","Enter Price",IF(F41&lt;=G41,"Deep Value / Strong Buy",IF(F41&lt;=H41,"Value / Buy",IF(F41&lt;=I41,"Fair Value / Hold",IF(F41&lt;=J41,"Fully Valued / Trim","Overvalued / Sell")))))</f>
        <v>0</v>
      </c>
      <c r="O41" s="16">
        <f>IF(OR(F41="",F41=0),"N/A",ROUND((L41-F41)/F41*100,1))</f>
        <v>0</v>
      </c>
      <c r="P41" s="19" t="s">
        <v>194</v>
      </c>
    </row>
    <row r="42" spans="1:16" ht="22" customHeight="1">
      <c r="A42" s="20">
        <v>40</v>
      </c>
      <c r="B42" s="21" t="s">
        <v>195</v>
      </c>
      <c r="C42" s="20" t="s">
        <v>196</v>
      </c>
      <c r="D42" s="20" t="s">
        <v>57</v>
      </c>
      <c r="E42" s="20" t="s">
        <v>197</v>
      </c>
      <c r="F42" s="22"/>
      <c r="G42" s="22">
        <v>700</v>
      </c>
      <c r="H42" s="22">
        <v>900</v>
      </c>
      <c r="I42" s="22">
        <v>1043</v>
      </c>
      <c r="J42" s="22">
        <v>1193</v>
      </c>
      <c r="K42" s="22">
        <v>943</v>
      </c>
      <c r="L42" s="22">
        <v>1043</v>
      </c>
      <c r="M42" s="22">
        <v>1193</v>
      </c>
      <c r="N42" s="20">
        <f>IF(F42="","Enter Price",IF(F42&lt;=G42,"Deep Value / Strong Buy",IF(F42&lt;=H42,"Value / Buy",IF(F42&lt;=I42,"Fair Value / Hold",IF(F42&lt;=J42,"Fully Valued / Trim","Overvalued / Sell")))))</f>
        <v>0</v>
      </c>
      <c r="O42" s="20">
        <f>IF(OR(F42="",F42=0),"N/A",ROUND((L42-F42)/F42*100,1))</f>
        <v>0</v>
      </c>
      <c r="P42" s="23" t="s">
        <v>198</v>
      </c>
    </row>
    <row r="43" spans="1:16" ht="22" customHeight="1">
      <c r="A43" s="16">
        <v>41</v>
      </c>
      <c r="B43" s="17" t="s">
        <v>199</v>
      </c>
      <c r="C43" s="16" t="s">
        <v>200</v>
      </c>
      <c r="D43" s="16" t="s">
        <v>57</v>
      </c>
      <c r="E43" s="16" t="s">
        <v>201</v>
      </c>
      <c r="F43" s="18"/>
      <c r="G43" s="18">
        <v>1026</v>
      </c>
      <c r="H43" s="18">
        <v>1256</v>
      </c>
      <c r="I43" s="18">
        <v>1500</v>
      </c>
      <c r="J43" s="18">
        <v>1729</v>
      </c>
      <c r="K43" s="18">
        <v>1026</v>
      </c>
      <c r="L43" s="18">
        <v>1729</v>
      </c>
      <c r="M43" s="18">
        <v>2000</v>
      </c>
      <c r="N43" s="16">
        <f>IF(F43="","Enter Price",IF(F43&lt;=G43,"Deep Value / Strong Buy",IF(F43&lt;=H43,"Value / Buy",IF(F43&lt;=I43,"Fair Value / Hold",IF(F43&lt;=J43,"Fully Valued / Trim","Overvalued / Sell")))))</f>
        <v>0</v>
      </c>
      <c r="O43" s="16">
        <f>IF(OR(F43="",F43=0),"N/A",ROUND((L43-F43)/F43*100,1))</f>
        <v>0</v>
      </c>
      <c r="P43" s="19" t="s">
        <v>202</v>
      </c>
    </row>
    <row r="44" spans="1:16" ht="22" customHeight="1">
      <c r="A44" s="20">
        <v>42</v>
      </c>
      <c r="B44" s="21" t="s">
        <v>203</v>
      </c>
      <c r="C44" s="20" t="s">
        <v>204</v>
      </c>
      <c r="D44" s="20" t="s">
        <v>57</v>
      </c>
      <c r="E44" s="20" t="s">
        <v>205</v>
      </c>
      <c r="F44" s="22"/>
      <c r="G44" s="22">
        <v>40</v>
      </c>
      <c r="H44" s="22">
        <v>55</v>
      </c>
      <c r="I44" s="22">
        <v>72</v>
      </c>
      <c r="J44" s="22">
        <v>92</v>
      </c>
      <c r="K44" s="22">
        <v>55</v>
      </c>
      <c r="L44" s="22">
        <v>88</v>
      </c>
      <c r="M44" s="22">
        <v>120</v>
      </c>
      <c r="N44" s="20">
        <f>IF(F44="","Enter Price",IF(F44&lt;=G44,"Deep Value / Strong Buy",IF(F44&lt;=H44,"Value / Buy",IF(F44&lt;=I44,"Fair Value / Hold",IF(F44&lt;=J44,"Fully Valued / Trim","Overvalued / Sell")))))</f>
        <v>0</v>
      </c>
      <c r="O44" s="20">
        <f>IF(OR(F44="",F44=0),"N/A",ROUND((L44-F44)/F44*100,1))</f>
        <v>0</v>
      </c>
      <c r="P44" s="23" t="s">
        <v>206</v>
      </c>
    </row>
    <row r="45" spans="1:16" ht="22" customHeight="1">
      <c r="A45" s="16">
        <v>43</v>
      </c>
      <c r="B45" s="17" t="s">
        <v>207</v>
      </c>
      <c r="C45" s="16" t="s">
        <v>207</v>
      </c>
      <c r="D45" s="16" t="s">
        <v>57</v>
      </c>
      <c r="E45" s="16" t="s">
        <v>53</v>
      </c>
      <c r="F45" s="18"/>
      <c r="G45" s="18">
        <v>300</v>
      </c>
      <c r="H45" s="18">
        <v>400</v>
      </c>
      <c r="I45" s="18">
        <v>450</v>
      </c>
      <c r="J45" s="18">
        <v>565</v>
      </c>
      <c r="K45" s="18">
        <v>356</v>
      </c>
      <c r="L45" s="18">
        <v>445</v>
      </c>
      <c r="M45" s="18">
        <v>600</v>
      </c>
      <c r="N45" s="16">
        <f>IF(F45="","Enter Price",IF(F45&lt;=G45,"Deep Value / Strong Buy",IF(F45&lt;=H45,"Value / Buy",IF(F45&lt;=I45,"Fair Value / Hold",IF(F45&lt;=J45,"Fully Valued / Trim","Overvalued / Sell")))))</f>
        <v>0</v>
      </c>
      <c r="O45" s="16">
        <f>IF(OR(F45="",F45=0),"N/A",ROUND((L45-F45)/F45*100,1))</f>
        <v>0</v>
      </c>
      <c r="P45" s="19" t="s">
        <v>208</v>
      </c>
    </row>
    <row r="46" spans="1:16" ht="22" customHeight="1">
      <c r="A46" s="20">
        <v>44</v>
      </c>
      <c r="B46" s="21" t="s">
        <v>209</v>
      </c>
      <c r="C46" s="20" t="s">
        <v>209</v>
      </c>
      <c r="D46" s="20" t="s">
        <v>57</v>
      </c>
      <c r="E46" s="20" t="s">
        <v>66</v>
      </c>
      <c r="F46" s="22"/>
      <c r="G46" s="22">
        <v>220</v>
      </c>
      <c r="H46" s="22">
        <v>270</v>
      </c>
      <c r="I46" s="22">
        <v>320</v>
      </c>
      <c r="J46" s="22">
        <v>386</v>
      </c>
      <c r="K46" s="22">
        <v>270</v>
      </c>
      <c r="L46" s="22">
        <v>386</v>
      </c>
      <c r="M46" s="22">
        <v>450</v>
      </c>
      <c r="N46" s="20">
        <f>IF(F46="","Enter Price",IF(F46&lt;=G46,"Deep Value / Strong Buy",IF(F46&lt;=H46,"Value / Buy",IF(F46&lt;=I46,"Fair Value / Hold",IF(F46&lt;=J46,"Fully Valued / Trim","Overvalued / Sell")))))</f>
        <v>0</v>
      </c>
      <c r="O46" s="20">
        <f>IF(OR(F46="",F46=0),"N/A",ROUND((L46-F46)/F46*100,1))</f>
        <v>0</v>
      </c>
      <c r="P46" s="23" t="s">
        <v>210</v>
      </c>
    </row>
    <row r="47" spans="1:16" ht="22" customHeight="1">
      <c r="A47" s="16">
        <v>45</v>
      </c>
      <c r="B47" s="17" t="s">
        <v>211</v>
      </c>
      <c r="C47" s="16" t="s">
        <v>212</v>
      </c>
      <c r="D47" s="16" t="s">
        <v>57</v>
      </c>
      <c r="E47" s="16" t="s">
        <v>62</v>
      </c>
      <c r="F47" s="18"/>
      <c r="G47" s="18">
        <v>226</v>
      </c>
      <c r="H47" s="18">
        <v>291</v>
      </c>
      <c r="I47" s="18">
        <v>388</v>
      </c>
      <c r="J47" s="18">
        <v>517</v>
      </c>
      <c r="K47" s="18">
        <v>307</v>
      </c>
      <c r="L47" s="18">
        <v>430</v>
      </c>
      <c r="M47" s="18">
        <v>556</v>
      </c>
      <c r="N47" s="16">
        <f>IF(F47="","Enter Price",IF(F47&lt;=G47,"Deep Value / Strong Buy",IF(F47&lt;=H47,"Value / Buy",IF(F47&lt;=I47,"Fair Value / Hold",IF(F47&lt;=J47,"Fully Valued / Trim","Overvalued / Sell")))))</f>
        <v>0</v>
      </c>
      <c r="O47" s="16">
        <f>IF(OR(F47="",F47=0),"N/A",ROUND((L47-F47)/F47*100,1))</f>
        <v>0</v>
      </c>
      <c r="P47" s="19" t="s">
        <v>213</v>
      </c>
    </row>
    <row r="48" spans="1:16" ht="22" customHeight="1">
      <c r="A48" s="20">
        <v>46</v>
      </c>
      <c r="B48" s="21" t="s">
        <v>214</v>
      </c>
      <c r="C48" s="20" t="s">
        <v>215</v>
      </c>
      <c r="D48" s="20" t="s">
        <v>57</v>
      </c>
      <c r="E48" s="20" t="s">
        <v>58</v>
      </c>
      <c r="F48" s="22"/>
      <c r="G48" s="22">
        <v>210</v>
      </c>
      <c r="H48" s="22">
        <v>330</v>
      </c>
      <c r="I48" s="22">
        <v>440</v>
      </c>
      <c r="J48" s="22">
        <v>600</v>
      </c>
      <c r="K48" s="22">
        <v>210</v>
      </c>
      <c r="L48" s="22">
        <v>380</v>
      </c>
      <c r="M48" s="22">
        <v>600</v>
      </c>
      <c r="N48" s="20">
        <f>IF(F48="","Enter Price",IF(F48&lt;=G48,"Deep Value / Strong Buy",IF(F48&lt;=H48,"Value / Buy",IF(F48&lt;=I48,"Fair Value / Hold",IF(F48&lt;=J48,"Fully Valued / Trim","Overvalued / Sell")))))</f>
        <v>0</v>
      </c>
      <c r="O48" s="20">
        <f>IF(OR(F48="",F48=0),"N/A",ROUND((L48-F48)/F48*100,1))</f>
        <v>0</v>
      </c>
      <c r="P48" s="23" t="s">
        <v>216</v>
      </c>
    </row>
    <row r="49" spans="1:16" ht="22" customHeight="1">
      <c r="A49" s="16">
        <v>47</v>
      </c>
      <c r="B49" s="17" t="s">
        <v>217</v>
      </c>
      <c r="C49" s="16" t="s">
        <v>218</v>
      </c>
      <c r="D49" s="16" t="s">
        <v>57</v>
      </c>
      <c r="E49" s="16" t="s">
        <v>82</v>
      </c>
      <c r="F49" s="18"/>
      <c r="G49" s="18">
        <v>16.8</v>
      </c>
      <c r="H49" s="18">
        <v>25.8</v>
      </c>
      <c r="I49" s="18">
        <v>38.7</v>
      </c>
      <c r="J49" s="18">
        <v>51.6</v>
      </c>
      <c r="K49" s="18">
        <v>24.1</v>
      </c>
      <c r="L49" s="18">
        <v>31.7</v>
      </c>
      <c r="M49" s="18">
        <v>41.3</v>
      </c>
      <c r="N49" s="16">
        <f>IF(F49="","Enter Price",IF(F49&lt;=G49,"Deep Value / Strong Buy",IF(F49&lt;=H49,"Value / Buy",IF(F49&lt;=I49,"Fair Value / Hold",IF(F49&lt;=J49,"Fully Valued / Trim","Overvalued / Sell")))))</f>
        <v>0</v>
      </c>
      <c r="O49" s="16">
        <f>IF(OR(F49="",F49=0),"N/A",ROUND((L49-F49)/F49*100,1))</f>
        <v>0</v>
      </c>
      <c r="P49" s="19" t="s">
        <v>219</v>
      </c>
    </row>
    <row r="50" spans="1:16" ht="22" customHeight="1">
      <c r="A50" s="20">
        <v>48</v>
      </c>
      <c r="B50" s="21" t="s">
        <v>220</v>
      </c>
      <c r="C50" s="20" t="s">
        <v>221</v>
      </c>
      <c r="D50" s="20" t="s">
        <v>57</v>
      </c>
      <c r="E50" s="20" t="s">
        <v>205</v>
      </c>
      <c r="F50" s="22"/>
      <c r="G50" s="22">
        <v>158</v>
      </c>
      <c r="H50" s="22">
        <v>224</v>
      </c>
      <c r="I50" s="22">
        <v>304</v>
      </c>
      <c r="J50" s="22">
        <v>396</v>
      </c>
      <c r="K50" s="22">
        <v>198</v>
      </c>
      <c r="L50" s="22">
        <v>293</v>
      </c>
      <c r="M50" s="22">
        <v>387</v>
      </c>
      <c r="N50" s="20">
        <f>IF(F50="","Enter Price",IF(F50&lt;=G50,"Deep Value / Strong Buy",IF(F50&lt;=H50,"Value / Buy",IF(F50&lt;=I50,"Fair Value / Hold",IF(F50&lt;=J50,"Fully Valued / Trim","Overvalued / Sell")))))</f>
        <v>0</v>
      </c>
      <c r="O50" s="20">
        <f>IF(OR(F50="",F50=0),"N/A",ROUND((L50-F50)/F50*100,1))</f>
        <v>0</v>
      </c>
      <c r="P50" s="23" t="s">
        <v>222</v>
      </c>
    </row>
    <row r="51" spans="1:16" ht="22" customHeight="1">
      <c r="A51" s="16">
        <v>49</v>
      </c>
      <c r="B51" s="17" t="s">
        <v>223</v>
      </c>
      <c r="C51" s="16" t="s">
        <v>224</v>
      </c>
      <c r="D51" s="16" t="s">
        <v>57</v>
      </c>
      <c r="E51" s="16" t="s">
        <v>82</v>
      </c>
      <c r="F51" s="18"/>
      <c r="G51" s="18">
        <v>200</v>
      </c>
      <c r="H51" s="18">
        <v>316</v>
      </c>
      <c r="I51" s="18">
        <v>375</v>
      </c>
      <c r="J51" s="18">
        <v>475</v>
      </c>
      <c r="K51" s="18">
        <v>316</v>
      </c>
      <c r="L51" s="18">
        <v>375</v>
      </c>
      <c r="M51" s="18">
        <v>500</v>
      </c>
      <c r="N51" s="16">
        <f>IF(F51="","Enter Price",IF(F51&lt;=G51,"Deep Value / Strong Buy",IF(F51&lt;=H51,"Value / Buy",IF(F51&lt;=I51,"Fair Value / Hold",IF(F51&lt;=J51,"Fully Valued / Trim","Overvalued / Sell")))))</f>
        <v>0</v>
      </c>
      <c r="O51" s="16">
        <f>IF(OR(F51="",F51=0),"N/A",ROUND((L51-F51)/F51*100,1))</f>
        <v>0</v>
      </c>
      <c r="P51" s="19" t="s">
        <v>225</v>
      </c>
    </row>
    <row r="52" spans="1:16" ht="22" customHeight="1">
      <c r="A52" s="20">
        <v>50</v>
      </c>
      <c r="B52" s="21" t="s">
        <v>226</v>
      </c>
      <c r="C52" s="20" t="s">
        <v>227</v>
      </c>
      <c r="D52" s="20" t="s">
        <v>57</v>
      </c>
      <c r="E52" s="20" t="s">
        <v>53</v>
      </c>
      <c r="F52" s="22"/>
      <c r="G52" s="22">
        <v>420</v>
      </c>
      <c r="H52" s="22">
        <v>620</v>
      </c>
      <c r="I52" s="22">
        <v>840</v>
      </c>
      <c r="J52" s="22">
        <v>1000</v>
      </c>
      <c r="K52" s="22">
        <v>500</v>
      </c>
      <c r="L52" s="22">
        <v>820</v>
      </c>
      <c r="M52" s="22">
        <v>1200</v>
      </c>
      <c r="N52" s="20">
        <f>IF(F52="","Enter Price",IF(F52&lt;=G52,"Deep Value / Strong Buy",IF(F52&lt;=H52,"Value / Buy",IF(F52&lt;=I52,"Fair Value / Hold",IF(F52&lt;=J52,"Fully Valued / Trim","Overvalued / Sell")))))</f>
        <v>0</v>
      </c>
      <c r="O52" s="20">
        <f>IF(OR(F52="",F52=0),"N/A",ROUND((L52-F52)/F52*100,1))</f>
        <v>0</v>
      </c>
      <c r="P52" s="23" t="s">
        <v>228</v>
      </c>
    </row>
    <row r="53" spans="1:16" ht="22" customHeight="1">
      <c r="A53" s="16">
        <v>51</v>
      </c>
      <c r="B53" s="17" t="s">
        <v>229</v>
      </c>
      <c r="C53" s="16" t="s">
        <v>230</v>
      </c>
      <c r="D53" s="16" t="s">
        <v>57</v>
      </c>
      <c r="E53" s="16" t="s">
        <v>205</v>
      </c>
      <c r="F53" s="18"/>
      <c r="G53" s="18">
        <v>132</v>
      </c>
      <c r="H53" s="18">
        <v>198</v>
      </c>
      <c r="I53" s="18">
        <v>275</v>
      </c>
      <c r="J53" s="18">
        <v>385</v>
      </c>
      <c r="K53" s="18">
        <v>224</v>
      </c>
      <c r="L53" s="18">
        <v>300</v>
      </c>
      <c r="M53" s="18">
        <v>366</v>
      </c>
      <c r="N53" s="16">
        <f>IF(F53="","Enter Price",IF(F53&lt;=G53,"Deep Value / Strong Buy",IF(F53&lt;=H53,"Value / Buy",IF(F53&lt;=I53,"Fair Value / Hold",IF(F53&lt;=J53,"Fully Valued / Trim","Overvalued / Sell")))))</f>
        <v>0</v>
      </c>
      <c r="O53" s="16">
        <f>IF(OR(F53="",F53=0),"N/A",ROUND((L53-F53)/F53*100,1))</f>
        <v>0</v>
      </c>
      <c r="P53" s="19" t="s">
        <v>231</v>
      </c>
    </row>
    <row r="54" spans="1:16" ht="22" customHeight="1">
      <c r="A54" s="20">
        <v>52</v>
      </c>
      <c r="B54" s="21" t="s">
        <v>232</v>
      </c>
      <c r="C54" s="20" t="s">
        <v>233</v>
      </c>
      <c r="D54" s="20" t="s">
        <v>57</v>
      </c>
      <c r="E54" s="20" t="s">
        <v>234</v>
      </c>
      <c r="F54" s="22"/>
      <c r="G54" s="22">
        <v>112</v>
      </c>
      <c r="H54" s="22">
        <v>186</v>
      </c>
      <c r="I54" s="22">
        <v>298</v>
      </c>
      <c r="J54" s="22">
        <v>330</v>
      </c>
      <c r="K54" s="22">
        <v>251</v>
      </c>
      <c r="L54" s="22">
        <v>440</v>
      </c>
      <c r="M54" s="22">
        <v>600</v>
      </c>
      <c r="N54" s="20">
        <f>IF(F54="","Enter Price",IF(F54&lt;=G54,"Deep Value / Strong Buy",IF(F54&lt;=H54,"Value / Buy",IF(F54&lt;=I54,"Fair Value / Hold",IF(F54&lt;=J54,"Fully Valued / Trim","Overvalued / Sell")))))</f>
        <v>0</v>
      </c>
      <c r="O54" s="20">
        <f>IF(OR(F54="",F54=0),"N/A",ROUND((L54-F54)/F54*100,1))</f>
        <v>0</v>
      </c>
      <c r="P54" s="23" t="s">
        <v>235</v>
      </c>
    </row>
    <row r="55" spans="1:16" ht="22" customHeight="1">
      <c r="A55" s="16">
        <v>53</v>
      </c>
      <c r="B55" s="17" t="s">
        <v>236</v>
      </c>
      <c r="C55" s="16" t="s">
        <v>237</v>
      </c>
      <c r="D55" s="16" t="s">
        <v>57</v>
      </c>
      <c r="E55" s="16" t="s">
        <v>178</v>
      </c>
      <c r="F55" s="18"/>
      <c r="G55" s="18">
        <v>392</v>
      </c>
      <c r="H55" s="18">
        <v>539</v>
      </c>
      <c r="I55" s="18">
        <v>735</v>
      </c>
      <c r="J55" s="18">
        <v>980</v>
      </c>
      <c r="K55" s="18">
        <v>895</v>
      </c>
      <c r="L55" s="18">
        <v>1335</v>
      </c>
      <c r="M55" s="18">
        <v>2043</v>
      </c>
      <c r="N55" s="16">
        <f>IF(F55="","Enter Price",IF(F55&lt;=G55,"Deep Value / Strong Buy",IF(F55&lt;=H55,"Value / Buy",IF(F55&lt;=I55,"Fair Value / Hold",IF(F55&lt;=J55,"Fully Valued / Trim","Overvalued / Sell")))))</f>
        <v>0</v>
      </c>
      <c r="O55" s="16">
        <f>IF(OR(F55="",F55=0),"N/A",ROUND((L55-F55)/F55*100,1))</f>
        <v>0</v>
      </c>
      <c r="P55" s="19" t="s">
        <v>238</v>
      </c>
    </row>
    <row r="56" spans="1:16" ht="22" customHeight="1">
      <c r="A56" s="20">
        <v>54</v>
      </c>
      <c r="B56" s="21" t="s">
        <v>239</v>
      </c>
      <c r="C56" s="20" t="s">
        <v>240</v>
      </c>
      <c r="D56" s="20" t="s">
        <v>57</v>
      </c>
      <c r="E56" s="20" t="s">
        <v>53</v>
      </c>
      <c r="F56" s="22"/>
      <c r="G56" s="22">
        <v>1750</v>
      </c>
      <c r="H56" s="22">
        <v>2250</v>
      </c>
      <c r="I56" s="22">
        <v>3125</v>
      </c>
      <c r="J56" s="22">
        <v>4000</v>
      </c>
      <c r="K56" s="22">
        <v>2988</v>
      </c>
      <c r="L56" s="22">
        <v>3951</v>
      </c>
      <c r="M56" s="22">
        <v>5159</v>
      </c>
      <c r="N56" s="20">
        <f>IF(F56="","Enter Price",IF(F56&lt;=G56,"Deep Value / Strong Buy",IF(F56&lt;=H56,"Value / Buy",IF(F56&lt;=I56,"Fair Value / Hold",IF(F56&lt;=J56,"Fully Valued / Trim","Overvalued / Sell")))))</f>
        <v>0</v>
      </c>
      <c r="O56" s="20">
        <f>IF(OR(F56="",F56=0),"N/A",ROUND((L56-F56)/F56*100,1))</f>
        <v>0</v>
      </c>
      <c r="P56" s="23" t="s">
        <v>241</v>
      </c>
    </row>
    <row r="57" spans="1:16" ht="22" customHeight="1">
      <c r="A57" s="16">
        <v>55</v>
      </c>
      <c r="B57" s="17" t="s">
        <v>242</v>
      </c>
      <c r="C57" s="16" t="s">
        <v>243</v>
      </c>
      <c r="D57" s="16" t="s">
        <v>57</v>
      </c>
      <c r="E57" s="16" t="s">
        <v>178</v>
      </c>
      <c r="F57" s="18"/>
      <c r="G57" s="18">
        <v>8300</v>
      </c>
      <c r="H57" s="18">
        <v>11000</v>
      </c>
      <c r="I57" s="18">
        <v>11490</v>
      </c>
      <c r="J57" s="18">
        <v>12757</v>
      </c>
      <c r="K57" s="18">
        <v>8532</v>
      </c>
      <c r="L57" s="18">
        <v>11490</v>
      </c>
      <c r="M57" s="18">
        <v>17793</v>
      </c>
      <c r="N57" s="16">
        <f>IF(F57="","Enter Price",IF(F57&lt;=G57,"Deep Value / Strong Buy",IF(F57&lt;=H57,"Value / Buy",IF(F57&lt;=I57,"Fair Value / Hold",IF(F57&lt;=J57,"Fully Valued / Trim","Overvalued / Sell")))))</f>
        <v>0</v>
      </c>
      <c r="O57" s="16">
        <f>IF(OR(F57="",F57=0),"N/A",ROUND((L57-F57)/F57*100,1))</f>
        <v>0</v>
      </c>
      <c r="P57" s="19" t="s">
        <v>244</v>
      </c>
    </row>
    <row r="58" spans="1:16" ht="22" customHeight="1">
      <c r="A58" s="20">
        <v>56</v>
      </c>
      <c r="B58" s="21" t="s">
        <v>245</v>
      </c>
      <c r="C58" s="20" t="s">
        <v>246</v>
      </c>
      <c r="D58" s="20" t="s">
        <v>57</v>
      </c>
      <c r="E58" s="20" t="s">
        <v>62</v>
      </c>
      <c r="F58" s="22"/>
      <c r="G58" s="22">
        <v>82500</v>
      </c>
      <c r="H58" s="22">
        <v>100850</v>
      </c>
      <c r="I58" s="22">
        <v>128350</v>
      </c>
      <c r="J58" s="22">
        <v>160440</v>
      </c>
      <c r="K58" s="22">
        <v>90600</v>
      </c>
      <c r="L58" s="22">
        <v>130400</v>
      </c>
      <c r="M58" s="22">
        <v>201200</v>
      </c>
      <c r="N58" s="20">
        <f>IF(F58="","Enter Price",IF(F58&lt;=G58,"Deep Value / Strong Buy",IF(F58&lt;=H58,"Value / Buy",IF(F58&lt;=I58,"Fair Value / Hold",IF(F58&lt;=J58,"Fully Valued / Trim","Overvalued / Sell")))))</f>
        <v>0</v>
      </c>
      <c r="O58" s="20">
        <f>IF(OR(F58="",F58=0),"N/A",ROUND((L58-F58)/F58*100,1))</f>
        <v>0</v>
      </c>
      <c r="P58" s="23" t="s">
        <v>247</v>
      </c>
    </row>
    <row r="59" spans="1:16" ht="22" customHeight="1">
      <c r="A59" s="16">
        <v>57</v>
      </c>
      <c r="B59" s="17" t="s">
        <v>248</v>
      </c>
      <c r="C59" s="16" t="s">
        <v>249</v>
      </c>
      <c r="D59" s="16" t="s">
        <v>57</v>
      </c>
      <c r="E59" s="16" t="s">
        <v>250</v>
      </c>
      <c r="F59" s="18"/>
      <c r="G59" s="18">
        <v>688</v>
      </c>
      <c r="H59" s="18">
        <v>946</v>
      </c>
      <c r="I59" s="18">
        <v>1204</v>
      </c>
      <c r="J59" s="18">
        <v>1462</v>
      </c>
      <c r="K59" s="18">
        <v>408</v>
      </c>
      <c r="L59" s="18">
        <v>602</v>
      </c>
      <c r="M59" s="18">
        <v>792</v>
      </c>
      <c r="N59" s="16">
        <f>IF(F59="","Enter Price",IF(F59&lt;=G59,"Deep Value / Strong Buy",IF(F59&lt;=H59,"Value / Buy",IF(F59&lt;=I59,"Fair Value / Hold",IF(F59&lt;=J59,"Fully Valued / Trim","Overvalued / Sell")))))</f>
        <v>0</v>
      </c>
      <c r="O59" s="16">
        <f>IF(OR(F59="",F59=0),"N/A",ROUND((L59-F59)/F59*100,1))</f>
        <v>0</v>
      </c>
      <c r="P59" s="19" t="s">
        <v>251</v>
      </c>
    </row>
    <row r="60" spans="1:16" ht="22" customHeight="1">
      <c r="A60" s="20">
        <v>58</v>
      </c>
      <c r="B60" s="21" t="s">
        <v>252</v>
      </c>
      <c r="C60" s="20" t="s">
        <v>253</v>
      </c>
      <c r="D60" s="20" t="s">
        <v>57</v>
      </c>
      <c r="E60" s="20" t="s">
        <v>58</v>
      </c>
      <c r="F60" s="22"/>
      <c r="G60" s="22">
        <v>275</v>
      </c>
      <c r="H60" s="22">
        <v>480</v>
      </c>
      <c r="I60" s="22">
        <v>685</v>
      </c>
      <c r="J60" s="22">
        <v>960</v>
      </c>
      <c r="K60" s="22">
        <v>526</v>
      </c>
      <c r="L60" s="22">
        <v>972</v>
      </c>
      <c r="M60" s="22">
        <v>1599</v>
      </c>
      <c r="N60" s="20">
        <f>IF(F60="","Enter Price",IF(F60&lt;=G60,"Deep Value / Strong Buy",IF(F60&lt;=H60,"Value / Buy",IF(F60&lt;=I60,"Fair Value / Hold",IF(F60&lt;=J60,"Fully Valued / Trim","Overvalued / Sell")))))</f>
        <v>0</v>
      </c>
      <c r="O60" s="20">
        <f>IF(OR(F60="",F60=0),"N/A",ROUND((L60-F60)/F60*100,1))</f>
        <v>0</v>
      </c>
      <c r="P60" s="23" t="s">
        <v>254</v>
      </c>
    </row>
    <row r="61" spans="1:16" ht="22" customHeight="1">
      <c r="A61" s="16">
        <v>59</v>
      </c>
      <c r="B61" s="17" t="s">
        <v>255</v>
      </c>
      <c r="C61" s="16" t="s">
        <v>256</v>
      </c>
      <c r="D61" s="16" t="s">
        <v>57</v>
      </c>
      <c r="E61" s="16" t="s">
        <v>257</v>
      </c>
      <c r="F61" s="18"/>
      <c r="G61" s="18">
        <v>5</v>
      </c>
      <c r="H61" s="18">
        <v>7</v>
      </c>
      <c r="I61" s="18">
        <v>10</v>
      </c>
      <c r="J61" s="18">
        <v>15</v>
      </c>
      <c r="K61" s="18">
        <v>3.7</v>
      </c>
      <c r="L61" s="18">
        <v>10</v>
      </c>
      <c r="M61" s="18">
        <v>19.3</v>
      </c>
      <c r="N61" s="16">
        <f>IF(F61="","Enter Price",IF(F61&lt;=G61,"Deep Value / Strong Buy",IF(F61&lt;=H61,"Value / Buy",IF(F61&lt;=I61,"Fair Value / Hold",IF(F61&lt;=J61,"Fully Valued / Trim","Overvalued / Sell")))))</f>
        <v>0</v>
      </c>
      <c r="O61" s="16">
        <f>IF(OR(F61="",F61=0),"N/A",ROUND((L61-F61)/F61*100,1))</f>
        <v>0</v>
      </c>
      <c r="P61" s="19" t="s">
        <v>258</v>
      </c>
    </row>
    <row r="62" spans="1:16" ht="22" customHeight="1">
      <c r="A62" s="20">
        <v>60</v>
      </c>
      <c r="B62" s="21" t="s">
        <v>259</v>
      </c>
      <c r="C62" s="20" t="s">
        <v>260</v>
      </c>
      <c r="D62" s="20" t="s">
        <v>57</v>
      </c>
      <c r="E62" s="20" t="s">
        <v>82</v>
      </c>
      <c r="F62" s="22"/>
      <c r="G62" s="22">
        <v>6375</v>
      </c>
      <c r="H62" s="22">
        <v>8160</v>
      </c>
      <c r="I62" s="22">
        <v>10710</v>
      </c>
      <c r="J62" s="22">
        <v>14025</v>
      </c>
      <c r="K62" s="22">
        <v>5651</v>
      </c>
      <c r="L62" s="22">
        <v>8315</v>
      </c>
      <c r="M62" s="22">
        <v>11576</v>
      </c>
      <c r="N62" s="20">
        <f>IF(F62="","Enter Price",IF(F62&lt;=G62,"Deep Value / Strong Buy",IF(F62&lt;=H62,"Value / Buy",IF(F62&lt;=I62,"Fair Value / Hold",IF(F62&lt;=J62,"Fully Valued / Trim","Overvalued / Sell")))))</f>
        <v>0</v>
      </c>
      <c r="O62" s="20">
        <f>IF(OR(F62="",F62=0),"N/A",ROUND((L62-F62)/F62*100,1))</f>
        <v>0</v>
      </c>
      <c r="P62" s="23" t="s">
        <v>261</v>
      </c>
    </row>
    <row r="63" spans="1:16" ht="22" customHeight="1">
      <c r="A63" s="16">
        <v>61</v>
      </c>
      <c r="B63" s="17" t="s">
        <v>262</v>
      </c>
      <c r="C63" s="16" t="s">
        <v>263</v>
      </c>
      <c r="D63" s="16" t="s">
        <v>57</v>
      </c>
      <c r="E63" s="16" t="s">
        <v>264</v>
      </c>
      <c r="F63" s="18"/>
      <c r="G63" s="18">
        <v>89</v>
      </c>
      <c r="H63" s="18">
        <v>118</v>
      </c>
      <c r="I63" s="18">
        <v>167</v>
      </c>
      <c r="J63" s="18">
        <v>207</v>
      </c>
      <c r="K63" s="18">
        <v>107</v>
      </c>
      <c r="L63" s="18">
        <v>157</v>
      </c>
      <c r="M63" s="18">
        <v>251</v>
      </c>
      <c r="N63" s="16" t="s">
        <v>138</v>
      </c>
      <c r="O63" s="16">
        <f>IF(OR(F63="",F63=0),"N/A",ROUND((L63-F63)/F63*100,1))</f>
        <v>0</v>
      </c>
      <c r="P63" s="19" t="s">
        <v>265</v>
      </c>
    </row>
    <row r="64" spans="1:16" ht="22" customHeight="1">
      <c r="A64" s="20">
        <v>62</v>
      </c>
      <c r="B64" s="21" t="s">
        <v>266</v>
      </c>
      <c r="C64" s="20" t="s">
        <v>267</v>
      </c>
      <c r="D64" s="20" t="s">
        <v>57</v>
      </c>
      <c r="E64" s="20" t="s">
        <v>62</v>
      </c>
      <c r="F64" s="22"/>
      <c r="G64" s="22">
        <v>600</v>
      </c>
      <c r="H64" s="22">
        <v>800</v>
      </c>
      <c r="I64" s="22">
        <v>1050</v>
      </c>
      <c r="J64" s="22">
        <v>1350</v>
      </c>
      <c r="K64" s="22">
        <v>1074</v>
      </c>
      <c r="L64" s="22">
        <v>1533</v>
      </c>
      <c r="M64" s="22">
        <v>2368</v>
      </c>
      <c r="N64" s="20">
        <f>IF(F64="","Enter Price",IF(F64&lt;=G64,"Deep Value / Strong Buy",IF(F64&lt;=H64,"Value / Buy",IF(F64&lt;=I64,"Fair Value / Hold",IF(F64&lt;=J64,"Fully Valued / Trim","Overvalued / Sell")))))</f>
        <v>0</v>
      </c>
      <c r="O64" s="20">
        <f>IF(OR(F64="",F64=0),"N/A",ROUND((L64-F64)/F64*100,1))</f>
        <v>0</v>
      </c>
      <c r="P64" s="23" t="s">
        <v>268</v>
      </c>
    </row>
    <row r="65" spans="1:16" ht="22" customHeight="1">
      <c r="A65" s="16">
        <v>63</v>
      </c>
      <c r="B65" s="17" t="s">
        <v>269</v>
      </c>
      <c r="C65" s="16" t="s">
        <v>270</v>
      </c>
      <c r="D65" s="16" t="s">
        <v>57</v>
      </c>
      <c r="E65" s="16" t="s">
        <v>178</v>
      </c>
      <c r="F65" s="18"/>
      <c r="G65" s="18">
        <v>161</v>
      </c>
      <c r="H65" s="18">
        <v>236</v>
      </c>
      <c r="I65" s="18">
        <v>321</v>
      </c>
      <c r="J65" s="18">
        <v>429</v>
      </c>
      <c r="K65" s="18">
        <v>261</v>
      </c>
      <c r="L65" s="18">
        <v>373</v>
      </c>
      <c r="M65" s="18">
        <v>545</v>
      </c>
      <c r="N65" s="16">
        <f>IF(F65="","Enter Price",IF(F65&lt;=G65,"Deep Value / Strong Buy",IF(F65&lt;=H65,"Value / Buy",IF(F65&lt;=I65,"Fair Value / Hold",IF(F65&lt;=J65,"Fully Valued / Trim","Overvalued / Sell")))))</f>
        <v>0</v>
      </c>
      <c r="O65" s="16">
        <f>IF(OR(F65="",F65=0),"N/A",ROUND((L65-F65)/F65*100,1))</f>
        <v>0</v>
      </c>
      <c r="P65" s="19" t="s">
        <v>271</v>
      </c>
    </row>
    <row r="66" spans="1:16" ht="22" customHeight="1">
      <c r="A66" s="20">
        <v>64</v>
      </c>
      <c r="B66" s="21" t="s">
        <v>272</v>
      </c>
      <c r="C66" s="20" t="s">
        <v>273</v>
      </c>
      <c r="D66" s="20" t="s">
        <v>57</v>
      </c>
      <c r="E66" s="20" t="s">
        <v>178</v>
      </c>
      <c r="F66" s="22"/>
      <c r="G66" s="22">
        <v>2400</v>
      </c>
      <c r="H66" s="22">
        <v>3200</v>
      </c>
      <c r="I66" s="22">
        <v>4500</v>
      </c>
      <c r="J66" s="22">
        <v>5600</v>
      </c>
      <c r="K66" s="22">
        <v>4050</v>
      </c>
      <c r="L66" s="22">
        <v>4930</v>
      </c>
      <c r="M66" s="22">
        <v>10000</v>
      </c>
      <c r="N66" s="20">
        <f>IF(F66="","Enter Price",IF(F66&lt;=G66,"Deep Value / Strong Buy",IF(F66&lt;=H66,"Value / Buy",IF(F66&lt;=I66,"Fair Value / Hold",IF(F66&lt;=J66,"Fully Valued / Trim","Overvalued / Sell")))))</f>
        <v>0</v>
      </c>
      <c r="O66" s="20">
        <f>IF(OR(F66="",F66=0),"N/A",ROUND((L66-F66)/F66*100,1))</f>
        <v>0</v>
      </c>
      <c r="P66" s="23" t="s">
        <v>274</v>
      </c>
    </row>
    <row r="67" spans="1:16" ht="22" customHeight="1">
      <c r="A67" s="16">
        <v>65</v>
      </c>
      <c r="B67" s="17" t="s">
        <v>275</v>
      </c>
      <c r="C67" s="16" t="s">
        <v>276</v>
      </c>
      <c r="D67" s="16" t="s">
        <v>57</v>
      </c>
      <c r="E67" s="16" t="s">
        <v>58</v>
      </c>
      <c r="F67" s="18"/>
      <c r="G67" s="18">
        <v>96</v>
      </c>
      <c r="H67" s="18">
        <v>125</v>
      </c>
      <c r="I67" s="18">
        <v>173</v>
      </c>
      <c r="J67" s="18">
        <v>240</v>
      </c>
      <c r="K67" s="18">
        <v>106</v>
      </c>
      <c r="L67" s="18">
        <v>203</v>
      </c>
      <c r="M67" s="18">
        <v>316</v>
      </c>
      <c r="N67" s="16">
        <f>IF(F67="","Enter Price",IF(F67&lt;=G67,"Deep Value / Strong Buy",IF(F67&lt;=H67,"Value / Buy",IF(F67&lt;=I67,"Fair Value / Hold",IF(F67&lt;=J67,"Fully Valued / Trim","Overvalued / Sell")))))</f>
        <v>0</v>
      </c>
      <c r="O67" s="16">
        <f>IF(OR(F67="",F67=0),"N/A",ROUND((L67-F67)/F67*100,1))</f>
        <v>0</v>
      </c>
      <c r="P67" s="19" t="s">
        <v>277</v>
      </c>
    </row>
    <row r="68" spans="1:16" ht="22" customHeight="1">
      <c r="A68" s="20">
        <v>66</v>
      </c>
      <c r="B68" s="21" t="s">
        <v>278</v>
      </c>
      <c r="C68" s="20" t="s">
        <v>279</v>
      </c>
      <c r="D68" s="20" t="s">
        <v>57</v>
      </c>
      <c r="E68" s="20" t="s">
        <v>178</v>
      </c>
      <c r="F68" s="22"/>
      <c r="G68" s="22">
        <v>615</v>
      </c>
      <c r="H68" s="22">
        <v>850</v>
      </c>
      <c r="I68" s="22">
        <v>1025</v>
      </c>
      <c r="J68" s="22">
        <v>1230</v>
      </c>
      <c r="K68" s="22">
        <v>410</v>
      </c>
      <c r="L68" s="22">
        <v>660</v>
      </c>
      <c r="M68" s="22">
        <v>1210</v>
      </c>
      <c r="N68" s="20">
        <f>IF(F68="","Enter Price",IF(F68&lt;=G68,"Deep Value / Strong Buy",IF(F68&lt;=H68,"Value / Buy",IF(F68&lt;=I68,"Fair Value / Hold",IF(F68&lt;=J68,"Fully Valued / Trim","Overvalued / Sell")))))</f>
        <v>0</v>
      </c>
      <c r="O68" s="20">
        <f>IF(OR(F68="",F68=0),"N/A",ROUND((L68-F68)/F68*100,1))</f>
        <v>0</v>
      </c>
      <c r="P68" s="23" t="s">
        <v>280</v>
      </c>
    </row>
    <row r="69" spans="1:16" ht="22" customHeight="1">
      <c r="A69" s="16">
        <v>67</v>
      </c>
      <c r="B69" s="17" t="s">
        <v>281</v>
      </c>
      <c r="C69" s="16" t="s">
        <v>282</v>
      </c>
      <c r="D69" s="16" t="s">
        <v>57</v>
      </c>
      <c r="E69" s="16" t="s">
        <v>250</v>
      </c>
      <c r="F69" s="18"/>
      <c r="G69" s="18">
        <v>5600</v>
      </c>
      <c r="H69" s="18">
        <v>8000</v>
      </c>
      <c r="I69" s="18">
        <v>10400</v>
      </c>
      <c r="J69" s="18">
        <v>13600</v>
      </c>
      <c r="K69" s="18">
        <v>5450</v>
      </c>
      <c r="L69" s="18">
        <v>8300</v>
      </c>
      <c r="M69" s="18">
        <v>11620</v>
      </c>
      <c r="N69" s="16">
        <f>IF(F69="","Enter Price",IF(F69&lt;=G69,"Deep Value / Strong Buy",IF(F69&lt;=H69,"Value / Buy",IF(F69&lt;=I69,"Fair Value / Hold",IF(F69&lt;=J69,"Fully Valued / Trim","Overvalued / Sell")))))</f>
        <v>0</v>
      </c>
      <c r="O69" s="16">
        <f>IF(OR(F69="",F69=0),"N/A",ROUND((L69-F69)/F69*100,1))</f>
        <v>0</v>
      </c>
      <c r="P69" s="19" t="s">
        <v>283</v>
      </c>
    </row>
    <row r="70" spans="1:16" ht="22" customHeight="1">
      <c r="A70" s="20">
        <v>68</v>
      </c>
      <c r="B70" s="21" t="s">
        <v>284</v>
      </c>
      <c r="C70" s="20" t="s">
        <v>285</v>
      </c>
      <c r="D70" s="20" t="s">
        <v>57</v>
      </c>
      <c r="E70" s="20" t="s">
        <v>62</v>
      </c>
      <c r="F70" s="22"/>
      <c r="G70" s="22">
        <v>27</v>
      </c>
      <c r="H70" s="22">
        <v>38</v>
      </c>
      <c r="I70" s="22">
        <v>50</v>
      </c>
      <c r="J70" s="22">
        <v>67</v>
      </c>
      <c r="K70" s="22">
        <v>27</v>
      </c>
      <c r="L70" s="22">
        <v>38</v>
      </c>
      <c r="M70" s="22">
        <v>50</v>
      </c>
      <c r="N70" s="20">
        <f>IF(F70="","Enter Price",IF(F70&lt;=G70,"Deep Value / Strong Buy",IF(F70&lt;=H70,"Value / Buy",IF(F70&lt;=I70,"Fair Value / Hold",IF(F70&lt;=J70,"Fully Valued / Trim","Overvalued / Sell")))))</f>
        <v>0</v>
      </c>
      <c r="O70" s="20">
        <f>IF(OR(F70="",F70=0),"N/A",ROUND((L70-F70)/F70*100,1))</f>
        <v>0</v>
      </c>
      <c r="P70" s="23" t="s">
        <v>286</v>
      </c>
    </row>
    <row r="71" spans="1:16" ht="22" customHeight="1">
      <c r="A71" s="16">
        <v>69</v>
      </c>
      <c r="B71" s="17" t="s">
        <v>287</v>
      </c>
      <c r="C71" s="16" t="s">
        <v>288</v>
      </c>
      <c r="D71" s="16" t="s">
        <v>57</v>
      </c>
      <c r="E71" s="16" t="s">
        <v>257</v>
      </c>
      <c r="F71" s="18"/>
      <c r="G71" s="18">
        <v>74</v>
      </c>
      <c r="H71" s="18">
        <v>105</v>
      </c>
      <c r="I71" s="18">
        <v>158</v>
      </c>
      <c r="J71" s="18">
        <v>210</v>
      </c>
      <c r="K71" s="18">
        <v>107</v>
      </c>
      <c r="L71" s="18">
        <v>222</v>
      </c>
      <c r="M71" s="18">
        <v>418</v>
      </c>
      <c r="N71" s="16" t="s">
        <v>138</v>
      </c>
      <c r="O71" s="16">
        <f>IF(OR(F71="",F71=0),"N/A",ROUND((L71-F71)/F71*100,1))</f>
        <v>0</v>
      </c>
      <c r="P71" s="19" t="s">
        <v>289</v>
      </c>
    </row>
    <row r="72" spans="1:16" ht="22" customHeight="1">
      <c r="A72" s="20">
        <v>70</v>
      </c>
      <c r="B72" s="21" t="s">
        <v>290</v>
      </c>
      <c r="C72" s="20" t="s">
        <v>291</v>
      </c>
      <c r="D72" s="20" t="s">
        <v>57</v>
      </c>
      <c r="E72" s="20" t="s">
        <v>53</v>
      </c>
      <c r="F72" s="22"/>
      <c r="G72" s="22">
        <v>641</v>
      </c>
      <c r="H72" s="22">
        <v>833</v>
      </c>
      <c r="I72" s="22">
        <v>1154</v>
      </c>
      <c r="J72" s="22">
        <v>1410</v>
      </c>
      <c r="K72" s="22">
        <v>915</v>
      </c>
      <c r="L72" s="22">
        <v>1255</v>
      </c>
      <c r="M72" s="22">
        <v>1675</v>
      </c>
      <c r="N72" s="20">
        <f>IF(F72="","Enter Price",IF(F72&lt;=G72,"Deep Value / Strong Buy",IF(F72&lt;=H72,"Value / Buy",IF(F72&lt;=I72,"Fair Value / Hold",IF(F72&lt;=J72,"Fully Valued / Trim","Overvalued / Sell")))))</f>
        <v>0</v>
      </c>
      <c r="O72" s="20">
        <f>IF(OR(F72="",F72=0),"N/A",ROUND((L72-F72)/F72*100,1))</f>
        <v>0</v>
      </c>
      <c r="P72" s="23" t="s">
        <v>292</v>
      </c>
    </row>
    <row r="73" spans="1:16" ht="22" customHeight="1">
      <c r="A73" s="16">
        <v>71</v>
      </c>
      <c r="B73" s="17" t="s">
        <v>293</v>
      </c>
      <c r="C73" s="16" t="s">
        <v>293</v>
      </c>
      <c r="D73" s="16" t="s">
        <v>57</v>
      </c>
      <c r="E73" s="16" t="s">
        <v>142</v>
      </c>
      <c r="F73" s="18"/>
      <c r="G73" s="18">
        <v>114</v>
      </c>
      <c r="H73" s="18">
        <v>143</v>
      </c>
      <c r="I73" s="18">
        <v>186</v>
      </c>
      <c r="J73" s="18">
        <v>243</v>
      </c>
      <c r="K73" s="18">
        <v>91</v>
      </c>
      <c r="L73" s="18">
        <v>146</v>
      </c>
      <c r="M73" s="18">
        <v>204</v>
      </c>
      <c r="N73" s="16" t="s">
        <v>138</v>
      </c>
      <c r="O73" s="16">
        <f>IF(OR(F73="",F73=0),"N/A",ROUND((L73-F73)/F73*100,1))</f>
        <v>0</v>
      </c>
      <c r="P73" s="19" t="s">
        <v>294</v>
      </c>
    </row>
    <row r="74" spans="1:16" ht="22" customHeight="1">
      <c r="A74" s="20">
        <v>72</v>
      </c>
      <c r="B74" s="21" t="s">
        <v>295</v>
      </c>
      <c r="C74" s="20" t="s">
        <v>296</v>
      </c>
      <c r="D74" s="20" t="s">
        <v>57</v>
      </c>
      <c r="E74" s="20" t="s">
        <v>178</v>
      </c>
      <c r="F74" s="22"/>
      <c r="G74" s="22">
        <v>2000</v>
      </c>
      <c r="H74" s="22">
        <v>2700</v>
      </c>
      <c r="I74" s="22">
        <v>3600</v>
      </c>
      <c r="J74" s="22">
        <v>4500</v>
      </c>
      <c r="K74" s="22">
        <v>3377</v>
      </c>
      <c r="L74" s="22">
        <v>5014</v>
      </c>
      <c r="M74" s="22">
        <v>6335</v>
      </c>
      <c r="N74" s="20">
        <f>IF(F74="","Enter Price",IF(F74&lt;=G74,"Deep Value / Strong Buy",IF(F74&lt;=H74,"Value / Buy",IF(F74&lt;=I74,"Fair Value / Hold",IF(F74&lt;=J74,"Fully Valued / Trim","Overvalued / Sell")))))</f>
        <v>0</v>
      </c>
      <c r="O74" s="20">
        <f>IF(OR(F74="",F74=0),"N/A",ROUND((L74-F74)/F74*100,1))</f>
        <v>0</v>
      </c>
      <c r="P74" s="23" t="s">
        <v>297</v>
      </c>
    </row>
    <row r="75" spans="1:16" ht="22" customHeight="1">
      <c r="A75" s="16">
        <v>73</v>
      </c>
      <c r="B75" s="17" t="s">
        <v>298</v>
      </c>
      <c r="C75" s="16" t="s">
        <v>299</v>
      </c>
      <c r="D75" s="16" t="s">
        <v>57</v>
      </c>
      <c r="E75" s="16" t="s">
        <v>264</v>
      </c>
      <c r="F75" s="18"/>
      <c r="G75" s="18">
        <v>200</v>
      </c>
      <c r="H75" s="18">
        <v>275</v>
      </c>
      <c r="I75" s="18">
        <v>400</v>
      </c>
      <c r="J75" s="18">
        <v>550</v>
      </c>
      <c r="K75" s="18">
        <v>519</v>
      </c>
      <c r="L75" s="18">
        <v>1043</v>
      </c>
      <c r="M75" s="18">
        <v>1703</v>
      </c>
      <c r="N75" s="16">
        <f>IF(F75="","Enter Price",IF(F75&lt;=G75,"Deep Value / Strong Buy",IF(F75&lt;=H75,"Value / Buy",IF(F75&lt;=I75,"Fair Value / Hold",IF(F75&lt;=J75,"Fully Valued / Trim","Overvalued / Sell")))))</f>
        <v>0</v>
      </c>
      <c r="O75" s="16">
        <f>IF(OR(F75="",F75=0),"N/A",ROUND((L75-F75)/F75*100,1))</f>
        <v>0</v>
      </c>
      <c r="P75" s="19" t="s">
        <v>300</v>
      </c>
    </row>
    <row r="76" spans="1:16" ht="22" customHeight="1">
      <c r="A76" s="20">
        <v>74</v>
      </c>
      <c r="B76" s="21" t="s">
        <v>301</v>
      </c>
      <c r="C76" s="20" t="s">
        <v>302</v>
      </c>
      <c r="D76" s="20" t="s">
        <v>57</v>
      </c>
      <c r="E76" s="20" t="s">
        <v>178</v>
      </c>
      <c r="F76" s="22"/>
      <c r="G76" s="22">
        <v>1705</v>
      </c>
      <c r="H76" s="22">
        <v>2728</v>
      </c>
      <c r="I76" s="22">
        <v>4092</v>
      </c>
      <c r="J76" s="22">
        <v>5456</v>
      </c>
      <c r="K76" s="22">
        <v>1887</v>
      </c>
      <c r="L76" s="22">
        <v>3322</v>
      </c>
      <c r="M76" s="22">
        <v>6228</v>
      </c>
      <c r="N76" s="20">
        <f>IF(F76="","Enter Price",IF(F76&lt;=G76,"Deep Value / Strong Buy",IF(F76&lt;=H76,"Value / Buy",IF(F76&lt;=I76,"Fair Value / Hold",IF(F76&lt;=J76,"Fully Valued / Trim","Overvalued / Sell")))))</f>
        <v>0</v>
      </c>
      <c r="O76" s="20">
        <f>IF(OR(F76="",F76=0),"N/A",ROUND((L76-F76)/F76*100,1))</f>
        <v>0</v>
      </c>
      <c r="P76" s="23" t="s">
        <v>303</v>
      </c>
    </row>
    <row r="77" spans="1:16" ht="22" customHeight="1">
      <c r="A77" s="16">
        <v>75</v>
      </c>
      <c r="B77" s="17" t="s">
        <v>304</v>
      </c>
      <c r="C77" s="16" t="s">
        <v>305</v>
      </c>
      <c r="D77" s="16" t="s">
        <v>57</v>
      </c>
      <c r="E77" s="16" t="s">
        <v>264</v>
      </c>
      <c r="F77" s="18"/>
      <c r="G77" s="18">
        <v>240</v>
      </c>
      <c r="H77" s="18">
        <v>400</v>
      </c>
      <c r="I77" s="18">
        <v>600</v>
      </c>
      <c r="J77" s="18">
        <v>900</v>
      </c>
      <c r="K77" s="18">
        <v>571</v>
      </c>
      <c r="L77" s="18">
        <v>834</v>
      </c>
      <c r="M77" s="18">
        <v>1168</v>
      </c>
      <c r="N77" s="16">
        <f>IF(F77="","Enter Price",IF(F77&lt;=G77,"Deep Value / Strong Buy",IF(F77&lt;=H77,"Value / Buy",IF(F77&lt;=I77,"Fair Value / Hold",IF(F77&lt;=J77,"Fully Valued / Trim","Overvalued / Sell")))))</f>
        <v>0</v>
      </c>
      <c r="O77" s="16">
        <f>IF(OR(F77="",F77=0),"N/A",ROUND((L77-F77)/F77*100,1))</f>
        <v>0</v>
      </c>
      <c r="P77" s="19" t="s">
        <v>306</v>
      </c>
    </row>
    <row r="78" spans="1:16" ht="22" customHeight="1">
      <c r="A78" s="20">
        <v>76</v>
      </c>
      <c r="B78" s="21" t="s">
        <v>307</v>
      </c>
      <c r="C78" s="20" t="s">
        <v>308</v>
      </c>
      <c r="D78" s="20" t="s">
        <v>57</v>
      </c>
      <c r="E78" s="20" t="s">
        <v>62</v>
      </c>
      <c r="F78" s="22"/>
      <c r="G78" s="22">
        <v>168</v>
      </c>
      <c r="H78" s="22">
        <v>247</v>
      </c>
      <c r="I78" s="22">
        <v>336</v>
      </c>
      <c r="J78" s="22">
        <v>426</v>
      </c>
      <c r="K78" s="22">
        <v>90</v>
      </c>
      <c r="L78" s="22">
        <v>182</v>
      </c>
      <c r="M78" s="22">
        <v>371</v>
      </c>
      <c r="N78" s="20">
        <f>IF(F78="","Enter Price",IF(F78&lt;=G78,"Deep Value / Strong Buy",IF(F78&lt;=H78,"Value / Buy",IF(F78&lt;=I78,"Fair Value / Hold",IF(F78&lt;=J78,"Fully Valued / Trim","Overvalued / Sell")))))</f>
        <v>0</v>
      </c>
      <c r="O78" s="20">
        <f>IF(OR(F78="",F78=0),"N/A",ROUND((L78-F78)/F78*100,1))</f>
        <v>0</v>
      </c>
      <c r="P78" s="23" t="s">
        <v>309</v>
      </c>
    </row>
    <row r="79" spans="1:16" ht="22" customHeight="1">
      <c r="A79" s="16">
        <v>77</v>
      </c>
      <c r="B79" s="17" t="s">
        <v>310</v>
      </c>
      <c r="C79" s="16" t="s">
        <v>311</v>
      </c>
      <c r="D79" s="16" t="s">
        <v>57</v>
      </c>
      <c r="E79" s="16" t="s">
        <v>58</v>
      </c>
      <c r="F79" s="18"/>
      <c r="G79" s="18">
        <v>61</v>
      </c>
      <c r="H79" s="18">
        <v>91</v>
      </c>
      <c r="I79" s="18">
        <v>122</v>
      </c>
      <c r="J79" s="18">
        <v>186</v>
      </c>
      <c r="K79" s="18">
        <v>4</v>
      </c>
      <c r="L79" s="18">
        <v>60</v>
      </c>
      <c r="M79" s="18">
        <v>224</v>
      </c>
      <c r="N79" s="16">
        <f>IF(F79="","Enter Price",IF(F79&lt;=G79,"Deep Value / Strong Buy",IF(F79&lt;=H79,"Value / Buy",IF(F79&lt;=I79,"Fair Value / Hold",IF(F79&lt;=J79,"Fully Valued / Trim","Overvalued / Sell")))))</f>
        <v>0</v>
      </c>
      <c r="O79" s="16">
        <f>IF(OR(F79="",F79=0),"N/A",ROUND((L79-F79)/F79*100,1))</f>
        <v>0</v>
      </c>
      <c r="P79" s="19" t="s">
        <v>312</v>
      </c>
    </row>
    <row r="80" spans="1:16" ht="22" customHeight="1">
      <c r="A80" s="20">
        <v>78</v>
      </c>
      <c r="B80" s="21" t="s">
        <v>313</v>
      </c>
      <c r="C80" s="20" t="s">
        <v>314</v>
      </c>
      <c r="D80" s="20" t="s">
        <v>57</v>
      </c>
      <c r="E80" s="20" t="s">
        <v>178</v>
      </c>
      <c r="F80" s="22"/>
      <c r="G80" s="22">
        <v>1850</v>
      </c>
      <c r="H80" s="22">
        <v>2550</v>
      </c>
      <c r="I80" s="22">
        <v>3500</v>
      </c>
      <c r="J80" s="22">
        <v>4650</v>
      </c>
      <c r="K80" s="22">
        <v>2181</v>
      </c>
      <c r="L80" s="22">
        <v>3946</v>
      </c>
      <c r="M80" s="22">
        <v>6525</v>
      </c>
      <c r="N80" s="20">
        <f>IF(F80="","Enter Price",IF(F80&lt;=G80,"Deep Value / Strong Buy",IF(F80&lt;=H80,"Value / Buy",IF(F80&lt;=I80,"Fair Value / Hold",IF(F80&lt;=J80,"Fully Valued / Trim","Overvalued / Sell")))))</f>
        <v>0</v>
      </c>
      <c r="O80" s="20">
        <f>IF(OR(F80="",F80=0),"N/A",ROUND((L80-F80)/F80*100,1))</f>
        <v>0</v>
      </c>
      <c r="P80" s="23" t="s">
        <v>315</v>
      </c>
    </row>
    <row r="81" spans="1:16" ht="22" customHeight="1">
      <c r="A81" s="16">
        <v>79</v>
      </c>
      <c r="B81" s="17" t="s">
        <v>316</v>
      </c>
      <c r="C81" s="16" t="s">
        <v>317</v>
      </c>
      <c r="D81" s="16" t="s">
        <v>57</v>
      </c>
      <c r="E81" s="16" t="s">
        <v>178</v>
      </c>
      <c r="F81" s="18"/>
      <c r="G81" s="18">
        <v>7700</v>
      </c>
      <c r="H81" s="18">
        <v>11550</v>
      </c>
      <c r="I81" s="18">
        <v>15400</v>
      </c>
      <c r="J81" s="18">
        <v>19250</v>
      </c>
      <c r="K81" s="18">
        <v>18650</v>
      </c>
      <c r="L81" s="18">
        <v>23700</v>
      </c>
      <c r="M81" s="18">
        <v>33250</v>
      </c>
      <c r="N81" s="16">
        <f>IF(F81="","Enter Price",IF(F81&lt;=G81,"Deep Value / Strong Buy",IF(F81&lt;=H81,"Value / Buy",IF(F81&lt;=I81,"Fair Value / Hold",IF(F81&lt;=J81,"Fully Valued / Trim","Overvalued / Sell")))))</f>
        <v>0</v>
      </c>
      <c r="O81" s="16">
        <f>IF(OR(F81="",F81=0),"N/A",ROUND((L81-F81)/F81*100,1))</f>
        <v>0</v>
      </c>
      <c r="P81" s="19" t="s">
        <v>318</v>
      </c>
    </row>
    <row r="82" spans="1:16" ht="22" customHeight="1">
      <c r="A82" s="20">
        <v>80</v>
      </c>
      <c r="B82" s="21" t="s">
        <v>319</v>
      </c>
      <c r="C82" s="20" t="s">
        <v>320</v>
      </c>
      <c r="D82" s="20" t="s">
        <v>57</v>
      </c>
      <c r="E82" s="20" t="s">
        <v>178</v>
      </c>
      <c r="F82" s="22"/>
      <c r="G82" s="22">
        <v>1500</v>
      </c>
      <c r="H82" s="22">
        <v>2100</v>
      </c>
      <c r="I82" s="22">
        <v>2800</v>
      </c>
      <c r="J82" s="22">
        <v>3500</v>
      </c>
      <c r="K82" s="22">
        <v>1487</v>
      </c>
      <c r="L82" s="22">
        <v>3007</v>
      </c>
      <c r="M82" s="22">
        <v>5369</v>
      </c>
      <c r="N82" s="20">
        <f>IF(F82="","Enter Price",IF(F82&lt;=G82,"Deep Value / Strong Buy",IF(F82&lt;=H82,"Value / Buy",IF(F82&lt;=I82,"Fair Value / Hold",IF(F82&lt;=J82,"Fully Valued / Trim","Overvalued / Sell")))))</f>
        <v>0</v>
      </c>
      <c r="O82" s="20">
        <f>IF(OR(F82="",F82=0),"N/A",ROUND((L82-F82)/F82*100,1))</f>
        <v>0</v>
      </c>
      <c r="P82" s="23" t="s">
        <v>321</v>
      </c>
    </row>
    <row r="83" spans="1:16" ht="22" customHeight="1">
      <c r="A83" s="16">
        <v>81</v>
      </c>
      <c r="B83" s="17" t="s">
        <v>322</v>
      </c>
      <c r="C83" s="16" t="s">
        <v>323</v>
      </c>
      <c r="D83" s="16" t="s">
        <v>57</v>
      </c>
      <c r="E83" s="16" t="s">
        <v>178</v>
      </c>
      <c r="F83" s="18"/>
      <c r="G83" s="18">
        <v>225</v>
      </c>
      <c r="H83" s="18">
        <v>288</v>
      </c>
      <c r="I83" s="18">
        <v>377</v>
      </c>
      <c r="J83" s="18">
        <v>494</v>
      </c>
      <c r="K83" s="18">
        <v>248</v>
      </c>
      <c r="L83" s="18">
        <v>402</v>
      </c>
      <c r="M83" s="18">
        <v>562</v>
      </c>
      <c r="N83" s="16">
        <f>IF(F83="","Enter Price",IF(F83&lt;=G83,"Deep Value / Strong Buy",IF(F83&lt;=H83,"Value / Buy",IF(F83&lt;=I83,"Fair Value / Hold",IF(F83&lt;=J83,"Fully Valued / Trim","Overvalued / Sell")))))</f>
        <v>0</v>
      </c>
      <c r="O83" s="16">
        <f>IF(OR(F83="",F83=0),"N/A",ROUND((L83-F83)/F83*100,1))</f>
        <v>0</v>
      </c>
      <c r="P83" s="19" t="s">
        <v>324</v>
      </c>
    </row>
    <row r="84" spans="1:16" ht="22" customHeight="1">
      <c r="A84" s="20">
        <v>82</v>
      </c>
      <c r="B84" s="21" t="s">
        <v>325</v>
      </c>
      <c r="C84" s="20" t="s">
        <v>326</v>
      </c>
      <c r="D84" s="20" t="s">
        <v>327</v>
      </c>
      <c r="E84" s="20" t="s">
        <v>178</v>
      </c>
      <c r="F84" s="22"/>
      <c r="G84" s="22">
        <v>220</v>
      </c>
      <c r="H84" s="22">
        <v>280</v>
      </c>
      <c r="I84" s="22">
        <v>360</v>
      </c>
      <c r="J84" s="22">
        <v>430</v>
      </c>
      <c r="K84" s="22">
        <v>222</v>
      </c>
      <c r="L84" s="22">
        <v>279</v>
      </c>
      <c r="M84" s="22">
        <v>354</v>
      </c>
      <c r="N84" s="20">
        <f>IF(F84="","Enter Price",IF(F84&lt;=G84,"Deep Value / Strong Buy",IF(F84&lt;=H84,"Value / Buy",IF(F84&lt;=I84,"Fair Value / Hold",IF(F84&lt;=J84,"Fully Valued / Trim","Overvalued / Sell")))))</f>
        <v>0</v>
      </c>
      <c r="O84" s="20">
        <f>IF(OR(F84="",F84=0),"N/A",ROUND((L84-F84)/F84*100,1))</f>
        <v>0</v>
      </c>
      <c r="P84" s="23" t="s">
        <v>328</v>
      </c>
    </row>
    <row r="85" spans="1:16" ht="22" customHeight="1">
      <c r="A85" s="16">
        <v>83</v>
      </c>
      <c r="B85" s="17" t="s">
        <v>329</v>
      </c>
      <c r="C85" s="16" t="s">
        <v>330</v>
      </c>
      <c r="D85" s="16" t="s">
        <v>327</v>
      </c>
      <c r="E85" s="16" t="s">
        <v>250</v>
      </c>
      <c r="F85" s="18"/>
      <c r="G85" s="18">
        <v>200</v>
      </c>
      <c r="H85" s="18">
        <v>250</v>
      </c>
      <c r="I85" s="18">
        <v>320</v>
      </c>
      <c r="J85" s="18">
        <v>400</v>
      </c>
      <c r="K85" s="18">
        <v>211</v>
      </c>
      <c r="L85" s="18">
        <v>254</v>
      </c>
      <c r="M85" s="18">
        <v>307</v>
      </c>
      <c r="N85" s="16">
        <f>IF(F85="","Enter Price",IF(F85&lt;=G85,"Deep Value / Strong Buy",IF(F85&lt;=H85,"Value / Buy",IF(F85&lt;=I85,"Fair Value / Hold",IF(F85&lt;=J85,"Fully Valued / Trim","Overvalued / Sell")))))</f>
        <v>0</v>
      </c>
      <c r="O85" s="16">
        <f>IF(OR(F85="",F85=0),"N/A",ROUND((L85-F85)/F85*100,1))</f>
        <v>0</v>
      </c>
      <c r="P85" s="19" t="s">
        <v>331</v>
      </c>
    </row>
    <row r="86" spans="1:16" ht="22" customHeight="1">
      <c r="A86" s="20">
        <v>84</v>
      </c>
      <c r="B86" s="21" t="s">
        <v>332</v>
      </c>
      <c r="C86" s="20" t="s">
        <v>333</v>
      </c>
      <c r="D86" s="20" t="s">
        <v>327</v>
      </c>
      <c r="E86" s="20" t="s">
        <v>250</v>
      </c>
      <c r="F86" s="22"/>
      <c r="G86" s="22">
        <v>148</v>
      </c>
      <c r="H86" s="22">
        <v>185</v>
      </c>
      <c r="I86" s="22">
        <v>222</v>
      </c>
      <c r="J86" s="22">
        <v>259</v>
      </c>
      <c r="K86" s="22">
        <v>94</v>
      </c>
      <c r="L86" s="22">
        <v>123</v>
      </c>
      <c r="M86" s="22">
        <v>166</v>
      </c>
      <c r="N86" s="20">
        <f>IF(F86="","Enter Price",IF(F86&lt;=G86,"Deep Value / Strong Buy",IF(F86&lt;=H86,"Value / Buy",IF(F86&lt;=I86,"Fair Value / Hold",IF(F86&lt;=J86,"Fully Valued / Trim","Overvalued / Sell")))))</f>
        <v>0</v>
      </c>
      <c r="O86" s="20">
        <f>IF(OR(F86="",F86=0),"N/A",ROUND((L86-F86)/F86*100,1))</f>
        <v>0</v>
      </c>
      <c r="P86" s="23" t="s">
        <v>334</v>
      </c>
    </row>
    <row r="87" spans="1:16" ht="22" customHeight="1">
      <c r="A87" s="16">
        <v>85</v>
      </c>
      <c r="B87" s="17" t="s">
        <v>335</v>
      </c>
      <c r="C87" s="16" t="s">
        <v>336</v>
      </c>
      <c r="D87" s="16" t="s">
        <v>327</v>
      </c>
      <c r="E87" s="16" t="s">
        <v>337</v>
      </c>
      <c r="F87" s="18"/>
      <c r="G87" s="18">
        <v>250</v>
      </c>
      <c r="H87" s="18">
        <v>325</v>
      </c>
      <c r="I87" s="18">
        <v>425</v>
      </c>
      <c r="J87" s="18">
        <v>550</v>
      </c>
      <c r="K87" s="18">
        <v>125</v>
      </c>
      <c r="L87" s="18">
        <v>182</v>
      </c>
      <c r="M87" s="18">
        <v>265</v>
      </c>
      <c r="N87" s="16">
        <f>IF(F87="","Enter Price",IF(F87&lt;=G87,"Deep Value / Strong Buy",IF(F87&lt;=H87,"Value / Buy",IF(F87&lt;=I87,"Fair Value / Hold",IF(F87&lt;=J87,"Fully Valued / Trim","Overvalued / Sell")))))</f>
        <v>0</v>
      </c>
      <c r="O87" s="16">
        <f>IF(OR(F87="",F87=0),"N/A",ROUND((L87-F87)/F87*100,1))</f>
        <v>0</v>
      </c>
      <c r="P87" s="19" t="s">
        <v>338</v>
      </c>
    </row>
    <row r="88" spans="1:16" ht="22" customHeight="1">
      <c r="A88" s="20">
        <v>86</v>
      </c>
      <c r="B88" s="21" t="s">
        <v>339</v>
      </c>
      <c r="C88" s="20" t="s">
        <v>340</v>
      </c>
      <c r="D88" s="20" t="s">
        <v>327</v>
      </c>
      <c r="E88" s="20" t="s">
        <v>105</v>
      </c>
      <c r="F88" s="22"/>
      <c r="G88" s="22">
        <v>445</v>
      </c>
      <c r="H88" s="22">
        <v>594</v>
      </c>
      <c r="I88" s="22">
        <v>743</v>
      </c>
      <c r="J88" s="22">
        <v>950</v>
      </c>
      <c r="K88" s="22">
        <v>634</v>
      </c>
      <c r="L88" s="22">
        <v>926</v>
      </c>
      <c r="M88" s="22">
        <v>1276</v>
      </c>
      <c r="N88" s="20">
        <f>IF(F88="","Enter Price",IF(F88&lt;=G88,"Deep Value / Strong Buy",IF(F88&lt;=H88,"Value / Buy",IF(F88&lt;=I88,"Fair Value / Hold",IF(F88&lt;=J88,"Fully Valued / Trim","Overvalued / Sell")))))</f>
        <v>0</v>
      </c>
      <c r="O88" s="20">
        <f>IF(OR(F88="",F88=0),"N/A",ROUND((L88-F88)/F88*100,1))</f>
        <v>0</v>
      </c>
      <c r="P88" s="23" t="s">
        <v>341</v>
      </c>
    </row>
    <row r="89" spans="1:16" ht="22" customHeight="1">
      <c r="A89" s="16">
        <v>87</v>
      </c>
      <c r="B89" s="17" t="s">
        <v>342</v>
      </c>
      <c r="C89" s="16" t="s">
        <v>343</v>
      </c>
      <c r="D89" s="16" t="s">
        <v>327</v>
      </c>
      <c r="E89" s="16" t="s">
        <v>250</v>
      </c>
      <c r="F89" s="18"/>
      <c r="G89" s="18">
        <v>320</v>
      </c>
      <c r="H89" s="18">
        <v>400</v>
      </c>
      <c r="I89" s="18">
        <v>480</v>
      </c>
      <c r="J89" s="18">
        <v>608</v>
      </c>
      <c r="K89" s="18">
        <v>357</v>
      </c>
      <c r="L89" s="18">
        <v>451</v>
      </c>
      <c r="M89" s="18">
        <v>573</v>
      </c>
      <c r="N89" s="16">
        <f>IF(F89="","Enter Price",IF(F89&lt;=G89,"Deep Value / Strong Buy",IF(F89&lt;=H89,"Value / Buy",IF(F89&lt;=I89,"Fair Value / Hold",IF(F89&lt;=J89,"Fully Valued / Trim","Overvalued / Sell")))))</f>
        <v>0</v>
      </c>
      <c r="O89" s="16">
        <f>IF(OR(F89="",F89=0),"N/A",ROUND((L89-F89)/F89*100,1))</f>
        <v>0</v>
      </c>
      <c r="P89" s="19" t="s">
        <v>344</v>
      </c>
    </row>
    <row r="90" spans="1:16" ht="22" customHeight="1">
      <c r="A90" s="20">
        <v>88</v>
      </c>
      <c r="B90" s="21" t="s">
        <v>345</v>
      </c>
      <c r="C90" s="20" t="s">
        <v>346</v>
      </c>
      <c r="D90" s="20" t="s">
        <v>327</v>
      </c>
      <c r="E90" s="20" t="s">
        <v>250</v>
      </c>
      <c r="F90" s="22"/>
      <c r="G90" s="22">
        <v>130</v>
      </c>
      <c r="H90" s="22">
        <v>170</v>
      </c>
      <c r="I90" s="22">
        <v>220</v>
      </c>
      <c r="J90" s="22">
        <v>280</v>
      </c>
      <c r="K90" s="22">
        <v>132</v>
      </c>
      <c r="L90" s="22">
        <v>193</v>
      </c>
      <c r="M90" s="22">
        <v>274</v>
      </c>
      <c r="N90" s="20">
        <f>IF(F90="","Enter Price",IF(F90&lt;=G90,"Deep Value / Strong Buy",IF(F90&lt;=H90,"Value / Buy",IF(F90&lt;=I90,"Fair Value / Hold",IF(F90&lt;=J90,"Fully Valued / Trim","Overvalued / Sell")))))</f>
        <v>0</v>
      </c>
      <c r="O90" s="20">
        <f>IF(OR(F90="",F90=0),"N/A",ROUND((L90-F90)/F90*100,1))</f>
        <v>0</v>
      </c>
      <c r="P90" s="23" t="s">
        <v>347</v>
      </c>
    </row>
    <row r="91" spans="1:16" ht="22" customHeight="1">
      <c r="A91" s="16">
        <v>89</v>
      </c>
      <c r="B91" s="17" t="s">
        <v>348</v>
      </c>
      <c r="C91" s="16" t="s">
        <v>349</v>
      </c>
      <c r="D91" s="16" t="s">
        <v>327</v>
      </c>
      <c r="E91" s="16" t="s">
        <v>53</v>
      </c>
      <c r="F91" s="18"/>
      <c r="G91" s="18">
        <v>54</v>
      </c>
      <c r="H91" s="18">
        <v>81</v>
      </c>
      <c r="I91" s="18">
        <v>119</v>
      </c>
      <c r="J91" s="18">
        <v>162</v>
      </c>
      <c r="K91" s="18">
        <v>104</v>
      </c>
      <c r="L91" s="18">
        <v>131</v>
      </c>
      <c r="M91" s="18">
        <v>165</v>
      </c>
      <c r="N91" s="16">
        <f>IF(F91="","Enter Price",IF(F91&lt;=G91,"Deep Value / Strong Buy",IF(F91&lt;=H91,"Value / Buy",IF(F91&lt;=I91,"Fair Value / Hold",IF(F91&lt;=J91,"Fully Valued / Trim","Overvalued / Sell")))))</f>
        <v>0</v>
      </c>
      <c r="O91" s="16">
        <f>IF(OR(F91="",F91=0),"N/A",ROUND((L91-F91)/F91*100,1))</f>
        <v>0</v>
      </c>
      <c r="P91" s="19" t="s">
        <v>350</v>
      </c>
    </row>
  </sheetData>
  <autoFilter ref="A2:P91"/>
  <mergeCells count="1">
    <mergeCell ref="A1:P1"/>
  </mergeCells>
  <conditionalFormatting sqref="A3:P91">
    <cfRule type="expression" dxfId="0" priority="1">
      <formula>$N3="Deep Value / Strong Buy"</formula>
    </cfRule>
    <cfRule type="expression" dxfId="1" priority="2">
      <formula>$N3="Value / Buy"</formula>
    </cfRule>
    <cfRule type="expression" dxfId="2" priority="3">
      <formula>$N3="Fair Value / Hold"</formula>
    </cfRule>
    <cfRule type="expression" dxfId="3" priority="4">
      <formula>$N3="Fully Valued / Trim"</formula>
    </cfRule>
    <cfRule type="expression" dxfId="4" priority="5">
      <formula>$N3="Overvalued / Sell"</formula>
    </cfRule>
    <cfRule type="expression" dxfId="5" priority="6">
      <formula>$N3="Weak Business"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6400"/>
  </sheetPr>
  <dimension ref="A1:O9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24" t="s">
        <v>351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>
      <c r="A2" s="25" t="s">
        <v>352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353</v>
      </c>
      <c r="G3" s="15" t="s">
        <v>354</v>
      </c>
      <c r="H3" s="15" t="s">
        <v>355</v>
      </c>
      <c r="I3" s="15" t="s">
        <v>356</v>
      </c>
      <c r="J3" s="15" t="s">
        <v>357</v>
      </c>
      <c r="K3" s="15" t="s">
        <v>358</v>
      </c>
      <c r="L3" s="15" t="s">
        <v>359</v>
      </c>
      <c r="M3" s="15" t="s">
        <v>47</v>
      </c>
      <c r="N3" s="15" t="s">
        <v>360</v>
      </c>
      <c r="O3" s="15" t="s">
        <v>49</v>
      </c>
    </row>
    <row r="4" spans="1:15">
      <c r="A4" cm="1">
        <f t="array" ref="A4:O93">_xlfn._xlws.FILTER('All Companies'!B3:P91,'All Companies'!N3:N91="Deep Value / Strong Buy","No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28B22"/>
  </sheetPr>
  <dimension ref="A1:O9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26" t="s">
        <v>361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15">
      <c r="A2" s="25" t="s">
        <v>362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353</v>
      </c>
      <c r="G3" s="15" t="s">
        <v>354</v>
      </c>
      <c r="H3" s="15" t="s">
        <v>355</v>
      </c>
      <c r="I3" s="15" t="s">
        <v>356</v>
      </c>
      <c r="J3" s="15" t="s">
        <v>357</v>
      </c>
      <c r="K3" s="15" t="s">
        <v>358</v>
      </c>
      <c r="L3" s="15" t="s">
        <v>359</v>
      </c>
      <c r="M3" s="15" t="s">
        <v>47</v>
      </c>
      <c r="N3" s="15" t="s">
        <v>360</v>
      </c>
      <c r="O3" s="15" t="s">
        <v>49</v>
      </c>
    </row>
    <row r="4" spans="1:15">
      <c r="A4" cm="1">
        <f t="array" ref="A4:O93">_xlfn._xlws.FILTER('All Companies'!B3:P91,'All Companies'!N3:N91="Value / Buy","No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AA520"/>
  </sheetPr>
  <dimension ref="A1:O9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27" t="s">
        <v>363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>
      <c r="A2" s="25" t="s">
        <v>364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353</v>
      </c>
      <c r="G3" s="15" t="s">
        <v>354</v>
      </c>
      <c r="H3" s="15" t="s">
        <v>355</v>
      </c>
      <c r="I3" s="15" t="s">
        <v>356</v>
      </c>
      <c r="J3" s="15" t="s">
        <v>357</v>
      </c>
      <c r="K3" s="15" t="s">
        <v>358</v>
      </c>
      <c r="L3" s="15" t="s">
        <v>359</v>
      </c>
      <c r="M3" s="15" t="s">
        <v>47</v>
      </c>
      <c r="N3" s="15" t="s">
        <v>360</v>
      </c>
      <c r="O3" s="15" t="s">
        <v>49</v>
      </c>
    </row>
    <row r="4" spans="1:15">
      <c r="A4" cm="1">
        <f t="array" ref="A4:O93">_xlfn._xlws.FILTER('All Companies'!B3:P91,'All Companies'!N3:N91="Fair Value / Hold","No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8C00"/>
  </sheetPr>
  <dimension ref="A1:O9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28" t="s">
        <v>365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>
      <c r="A2" s="25" t="s">
        <v>366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353</v>
      </c>
      <c r="G3" s="15" t="s">
        <v>354</v>
      </c>
      <c r="H3" s="15" t="s">
        <v>355</v>
      </c>
      <c r="I3" s="15" t="s">
        <v>356</v>
      </c>
      <c r="J3" s="15" t="s">
        <v>357</v>
      </c>
      <c r="K3" s="15" t="s">
        <v>358</v>
      </c>
      <c r="L3" s="15" t="s">
        <v>359</v>
      </c>
      <c r="M3" s="15" t="s">
        <v>47</v>
      </c>
      <c r="N3" s="15" t="s">
        <v>360</v>
      </c>
      <c r="O3" s="15" t="s">
        <v>49</v>
      </c>
    </row>
    <row r="4" spans="1:15">
      <c r="A4" cm="1">
        <f t="array" ref="A4:O93">_xlfn._xlws.FILTER('All Companies'!B3:P91,'All Companies'!N3:N91="Fully Valued / Trim","No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C143C"/>
  </sheetPr>
  <dimension ref="A1:O9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29" t="s">
        <v>367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>
      <c r="A2" s="25" t="s">
        <v>368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353</v>
      </c>
      <c r="G3" s="15" t="s">
        <v>354</v>
      </c>
      <c r="H3" s="15" t="s">
        <v>355</v>
      </c>
      <c r="I3" s="15" t="s">
        <v>356</v>
      </c>
      <c r="J3" s="15" t="s">
        <v>357</v>
      </c>
      <c r="K3" s="15" t="s">
        <v>358</v>
      </c>
      <c r="L3" s="15" t="s">
        <v>359</v>
      </c>
      <c r="M3" s="15" t="s">
        <v>47</v>
      </c>
      <c r="N3" s="15" t="s">
        <v>360</v>
      </c>
      <c r="O3" s="15" t="s">
        <v>49</v>
      </c>
    </row>
    <row r="4" spans="1:15">
      <c r="A4" cm="1">
        <f t="array" ref="A4:O93">_xlfn._xlws.FILTER('All Companies'!B3:P91,'All Companies'!N3:N91="Overvalued / Sell","No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A1A1A"/>
  </sheetPr>
  <dimension ref="A1:O9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4" width="10.7109375" customWidth="1"/>
    <col min="5" max="5" width="18.7109375" customWidth="1"/>
    <col min="6" max="12" width="16.7109375" customWidth="1"/>
    <col min="13" max="13" width="22.7109375" customWidth="1"/>
    <col min="14" max="14" width="18.7109375" customWidth="1"/>
    <col min="15" max="15" width="55.7109375" customWidth="1"/>
  </cols>
  <sheetData>
    <row r="1" spans="1:15" ht="30" customHeight="1">
      <c r="A1" s="30" t="s">
        <v>369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>
      <c r="A2" s="25" t="s">
        <v>370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ht="28" customHeight="1">
      <c r="A3" s="15" t="s">
        <v>35</v>
      </c>
      <c r="B3" s="15" t="s">
        <v>36</v>
      </c>
      <c r="C3" s="15" t="s">
        <v>37</v>
      </c>
      <c r="D3" s="15" t="s">
        <v>38</v>
      </c>
      <c r="E3" s="15" t="s">
        <v>39</v>
      </c>
      <c r="F3" s="15" t="s">
        <v>353</v>
      </c>
      <c r="G3" s="15" t="s">
        <v>354</v>
      </c>
      <c r="H3" s="15" t="s">
        <v>355</v>
      </c>
      <c r="I3" s="15" t="s">
        <v>356</v>
      </c>
      <c r="J3" s="15" t="s">
        <v>357</v>
      </c>
      <c r="K3" s="15" t="s">
        <v>358</v>
      </c>
      <c r="L3" s="15" t="s">
        <v>359</v>
      </c>
      <c r="M3" s="15" t="s">
        <v>47</v>
      </c>
      <c r="N3" s="15" t="s">
        <v>360</v>
      </c>
      <c r="O3" s="15" t="s">
        <v>49</v>
      </c>
    </row>
    <row r="4" spans="1:15">
      <c r="A4" cm="1">
        <f t="array" ref="A4:O93">_xlfn._xlws.FILTER('All Companies'!B3:P91,'All Companies'!N3:N91="Weak Business","No companies in this zone currently - enter prices in All Companies sheet")</f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9B59B6"/>
  </sheetPr>
  <dimension ref="B1:D62"/>
  <sheetViews>
    <sheetView showGridLines="0" workbookViewId="0"/>
  </sheetViews>
  <sheetFormatPr defaultRowHeight="15"/>
  <cols>
    <col min="1" max="1" width="5.7109375" customWidth="1"/>
    <col min="2" max="2" width="30.7109375" customWidth="1"/>
    <col min="3" max="3" width="18.7109375" customWidth="1"/>
    <col min="4" max="4" width="40.7109375" customWidth="1"/>
  </cols>
  <sheetData>
    <row r="1" spans="2:4">
      <c r="B1" s="31" t="s">
        <v>371</v>
      </c>
      <c r="C1" s="31"/>
      <c r="D1" s="31"/>
    </row>
    <row r="3" spans="2:4">
      <c r="B3" s="15" t="s">
        <v>372</v>
      </c>
      <c r="C3" s="15" t="s">
        <v>373</v>
      </c>
      <c r="D3" s="15" t="s">
        <v>374</v>
      </c>
    </row>
    <row r="4" spans="2:4">
      <c r="B4" s="4" t="s">
        <v>3</v>
      </c>
      <c r="C4" s="32">
        <f>COUNTIF('All Companies'!N3:N91,"Deep Value / Strong Buy")</f>
        <v>0</v>
      </c>
      <c r="D4" s="5" t="s">
        <v>375</v>
      </c>
    </row>
    <row r="5" spans="2:4">
      <c r="B5" s="6" t="s">
        <v>5</v>
      </c>
      <c r="C5" s="32">
        <f>COUNTIF('All Companies'!N3:N91,"Value / Buy")</f>
        <v>0</v>
      </c>
      <c r="D5" s="5" t="s">
        <v>376</v>
      </c>
    </row>
    <row r="6" spans="2:4">
      <c r="B6" s="7" t="s">
        <v>7</v>
      </c>
      <c r="C6" s="32">
        <f>COUNTIF('All Companies'!N3:N91,"Fair Value / Hold")</f>
        <v>0</v>
      </c>
      <c r="D6" s="5" t="s">
        <v>377</v>
      </c>
    </row>
    <row r="7" spans="2:4">
      <c r="B7" s="8" t="s">
        <v>9</v>
      </c>
      <c r="C7" s="32">
        <f>COUNTIF('All Companies'!N3:N91,"Fully Valued / Trim")</f>
        <v>0</v>
      </c>
      <c r="D7" s="5" t="s">
        <v>378</v>
      </c>
    </row>
    <row r="8" spans="2:4">
      <c r="B8" s="9" t="s">
        <v>11</v>
      </c>
      <c r="C8" s="32">
        <f>COUNTIF('All Companies'!N3:N91,"Overvalued / Sell")</f>
        <v>0</v>
      </c>
      <c r="D8" s="5" t="s">
        <v>379</v>
      </c>
    </row>
    <row r="9" spans="2:4">
      <c r="B9" s="10" t="s">
        <v>138</v>
      </c>
      <c r="C9" s="32">
        <f>COUNTIF('All Companies'!N3:N91,"Weak Business")</f>
        <v>0</v>
      </c>
      <c r="D9" s="5" t="s">
        <v>380</v>
      </c>
    </row>
    <row r="10" spans="2:4">
      <c r="B10" s="33" t="s">
        <v>381</v>
      </c>
      <c r="C10" s="32">
        <f>COUNTIF('All Companies'!N3:N91,"Enter Price")</f>
        <v>0</v>
      </c>
      <c r="D10" s="5" t="s">
        <v>382</v>
      </c>
    </row>
    <row r="11" spans="2:4">
      <c r="B11" s="11" t="s">
        <v>383</v>
      </c>
      <c r="C11" s="32">
        <f>SUM(C4:C10)</f>
        <v>0</v>
      </c>
    </row>
    <row r="13" spans="2:4">
      <c r="B13" s="3" t="s">
        <v>384</v>
      </c>
      <c r="C13" s="3"/>
      <c r="D13" s="3"/>
    </row>
    <row r="14" spans="2:4">
      <c r="B14" s="15" t="s">
        <v>385</v>
      </c>
      <c r="C14" s="15" t="s">
        <v>38</v>
      </c>
      <c r="D14" s="15" t="s">
        <v>386</v>
      </c>
    </row>
    <row r="15" spans="2:4">
      <c r="B15" s="34" t="s">
        <v>329</v>
      </c>
      <c r="C15" s="35" t="s">
        <v>250</v>
      </c>
      <c r="D15" s="5" t="s">
        <v>387</v>
      </c>
    </row>
    <row r="16" spans="2:4">
      <c r="B16" s="34" t="s">
        <v>332</v>
      </c>
      <c r="C16" s="35" t="s">
        <v>250</v>
      </c>
      <c r="D16" s="5" t="s">
        <v>388</v>
      </c>
    </row>
    <row r="17" spans="2:4">
      <c r="B17" s="34" t="s">
        <v>84</v>
      </c>
      <c r="C17" s="35" t="s">
        <v>86</v>
      </c>
      <c r="D17" s="5" t="s">
        <v>87</v>
      </c>
    </row>
    <row r="18" spans="2:4">
      <c r="B18" s="34" t="s">
        <v>342</v>
      </c>
      <c r="C18" s="35" t="s">
        <v>250</v>
      </c>
      <c r="D18" s="5" t="s">
        <v>344</v>
      </c>
    </row>
    <row r="19" spans="2:4">
      <c r="B19" s="34" t="s">
        <v>345</v>
      </c>
      <c r="C19" s="35" t="s">
        <v>250</v>
      </c>
      <c r="D19" s="5" t="s">
        <v>389</v>
      </c>
    </row>
    <row r="20" spans="2:4">
      <c r="B20" s="34" t="s">
        <v>248</v>
      </c>
      <c r="C20" s="35" t="s">
        <v>250</v>
      </c>
      <c r="D20" s="5" t="s">
        <v>390</v>
      </c>
    </row>
    <row r="21" spans="2:4">
      <c r="B21" s="34" t="s">
        <v>281</v>
      </c>
      <c r="C21" s="35" t="s">
        <v>250</v>
      </c>
      <c r="D21" s="5" t="s">
        <v>283</v>
      </c>
    </row>
    <row r="22" spans="2:4">
      <c r="B22" s="34" t="s">
        <v>99</v>
      </c>
      <c r="C22" s="35" t="s">
        <v>101</v>
      </c>
      <c r="D22" s="5" t="s">
        <v>391</v>
      </c>
    </row>
    <row r="23" spans="2:4">
      <c r="B23" s="34" t="s">
        <v>169</v>
      </c>
      <c r="C23" s="35" t="s">
        <v>101</v>
      </c>
      <c r="D23" s="5" t="s">
        <v>392</v>
      </c>
    </row>
    <row r="24" spans="2:4">
      <c r="B24" s="34" t="s">
        <v>335</v>
      </c>
      <c r="C24" s="35" t="s">
        <v>337</v>
      </c>
      <c r="D24" s="5" t="s">
        <v>338</v>
      </c>
    </row>
    <row r="25" spans="2:4">
      <c r="B25" s="34" t="s">
        <v>172</v>
      </c>
      <c r="C25" s="35" t="s">
        <v>174</v>
      </c>
      <c r="D25" s="5" t="s">
        <v>393</v>
      </c>
    </row>
    <row r="26" spans="2:4">
      <c r="B26" s="34" t="s">
        <v>183</v>
      </c>
      <c r="C26" s="35" t="s">
        <v>174</v>
      </c>
      <c r="D26" s="5" t="s">
        <v>394</v>
      </c>
    </row>
    <row r="27" spans="2:4">
      <c r="B27" s="34" t="s">
        <v>325</v>
      </c>
      <c r="C27" s="35" t="s">
        <v>178</v>
      </c>
      <c r="D27" s="5" t="s">
        <v>395</v>
      </c>
    </row>
    <row r="28" spans="2:4">
      <c r="B28" s="34" t="s">
        <v>176</v>
      </c>
      <c r="C28" s="35" t="s">
        <v>178</v>
      </c>
      <c r="D28" s="5" t="s">
        <v>396</v>
      </c>
    </row>
    <row r="29" spans="2:4">
      <c r="B29" s="34" t="s">
        <v>236</v>
      </c>
      <c r="C29" s="35" t="s">
        <v>178</v>
      </c>
      <c r="D29" s="5" t="s">
        <v>238</v>
      </c>
    </row>
    <row r="30" spans="2:4">
      <c r="B30" s="34" t="s">
        <v>242</v>
      </c>
      <c r="C30" s="35" t="s">
        <v>178</v>
      </c>
      <c r="D30" s="5" t="s">
        <v>244</v>
      </c>
    </row>
    <row r="31" spans="2:4">
      <c r="B31" s="34" t="s">
        <v>269</v>
      </c>
      <c r="C31" s="35" t="s">
        <v>178</v>
      </c>
      <c r="D31" s="5" t="s">
        <v>271</v>
      </c>
    </row>
    <row r="32" spans="2:4">
      <c r="B32" s="34" t="s">
        <v>272</v>
      </c>
      <c r="C32" s="35" t="s">
        <v>178</v>
      </c>
      <c r="D32" s="5" t="s">
        <v>274</v>
      </c>
    </row>
    <row r="33" spans="2:4">
      <c r="B33" s="34" t="s">
        <v>278</v>
      </c>
      <c r="C33" s="35" t="s">
        <v>178</v>
      </c>
      <c r="D33" s="5" t="s">
        <v>280</v>
      </c>
    </row>
    <row r="34" spans="2:4">
      <c r="B34" s="34" t="s">
        <v>295</v>
      </c>
      <c r="C34" s="35" t="s">
        <v>178</v>
      </c>
      <c r="D34" s="5" t="s">
        <v>297</v>
      </c>
    </row>
    <row r="35" spans="2:4">
      <c r="B35" s="34" t="s">
        <v>316</v>
      </c>
      <c r="C35" s="35" t="s">
        <v>178</v>
      </c>
      <c r="D35" s="5" t="s">
        <v>397</v>
      </c>
    </row>
    <row r="36" spans="2:4">
      <c r="B36" s="34" t="s">
        <v>319</v>
      </c>
      <c r="C36" s="35" t="s">
        <v>178</v>
      </c>
      <c r="D36" s="5" t="s">
        <v>398</v>
      </c>
    </row>
    <row r="37" spans="2:4">
      <c r="B37" s="34" t="s">
        <v>301</v>
      </c>
      <c r="C37" s="35" t="s">
        <v>178</v>
      </c>
      <c r="D37" s="5" t="s">
        <v>303</v>
      </c>
    </row>
    <row r="38" spans="2:4">
      <c r="B38" s="34" t="s">
        <v>313</v>
      </c>
      <c r="C38" s="35" t="s">
        <v>178</v>
      </c>
      <c r="D38" s="5" t="s">
        <v>399</v>
      </c>
    </row>
    <row r="39" spans="2:4">
      <c r="B39" s="34" t="s">
        <v>322</v>
      </c>
      <c r="C39" s="35" t="s">
        <v>178</v>
      </c>
      <c r="D39" s="5" t="s">
        <v>400</v>
      </c>
    </row>
    <row r="40" spans="2:4">
      <c r="B40" s="34" t="s">
        <v>154</v>
      </c>
      <c r="C40" s="35" t="s">
        <v>156</v>
      </c>
      <c r="D40" s="5" t="s">
        <v>401</v>
      </c>
    </row>
    <row r="41" spans="2:4">
      <c r="B41" s="34" t="s">
        <v>133</v>
      </c>
      <c r="C41" s="35" t="s">
        <v>127</v>
      </c>
      <c r="D41" s="5" t="s">
        <v>402</v>
      </c>
    </row>
    <row r="42" spans="2:4">
      <c r="B42" s="34" t="s">
        <v>125</v>
      </c>
      <c r="C42" s="35" t="s">
        <v>127</v>
      </c>
      <c r="D42" s="5" t="s">
        <v>403</v>
      </c>
    </row>
    <row r="43" spans="2:4">
      <c r="B43" s="34" t="s">
        <v>195</v>
      </c>
      <c r="C43" s="35" t="s">
        <v>197</v>
      </c>
      <c r="D43" s="5" t="s">
        <v>404</v>
      </c>
    </row>
    <row r="44" spans="2:4">
      <c r="B44" s="34" t="s">
        <v>129</v>
      </c>
      <c r="C44" s="35" t="s">
        <v>131</v>
      </c>
      <c r="D44" s="5" t="s">
        <v>405</v>
      </c>
    </row>
    <row r="45" spans="2:4">
      <c r="B45" s="34" t="s">
        <v>158</v>
      </c>
      <c r="C45" s="35" t="s">
        <v>131</v>
      </c>
      <c r="D45" s="5" t="s">
        <v>406</v>
      </c>
    </row>
    <row r="46" spans="2:4">
      <c r="B46" s="34" t="s">
        <v>114</v>
      </c>
      <c r="C46" s="35" t="s">
        <v>116</v>
      </c>
      <c r="D46" s="5" t="s">
        <v>117</v>
      </c>
    </row>
    <row r="47" spans="2:4">
      <c r="B47" s="34" t="s">
        <v>147</v>
      </c>
      <c r="C47" s="35" t="s">
        <v>116</v>
      </c>
      <c r="D47" s="5" t="s">
        <v>407</v>
      </c>
    </row>
    <row r="48" spans="2:4">
      <c r="B48" s="34" t="s">
        <v>232</v>
      </c>
      <c r="C48" s="35" t="s">
        <v>234</v>
      </c>
      <c r="D48" s="5" t="s">
        <v>235</v>
      </c>
    </row>
    <row r="49" spans="2:4">
      <c r="B49" s="34" t="s">
        <v>80</v>
      </c>
      <c r="C49" s="35" t="s">
        <v>82</v>
      </c>
      <c r="D49" s="5" t="s">
        <v>408</v>
      </c>
    </row>
    <row r="50" spans="2:4">
      <c r="B50" s="34" t="s">
        <v>144</v>
      </c>
      <c r="C50" s="35" t="s">
        <v>82</v>
      </c>
      <c r="D50" s="5" t="s">
        <v>409</v>
      </c>
    </row>
    <row r="51" spans="2:4">
      <c r="B51" s="34" t="s">
        <v>217</v>
      </c>
      <c r="C51" s="35" t="s">
        <v>82</v>
      </c>
      <c r="D51" s="5" t="s">
        <v>219</v>
      </c>
    </row>
    <row r="52" spans="2:4">
      <c r="B52" s="34" t="s">
        <v>223</v>
      </c>
      <c r="C52" s="35" t="s">
        <v>82</v>
      </c>
      <c r="D52" s="5" t="s">
        <v>225</v>
      </c>
    </row>
    <row r="53" spans="2:4">
      <c r="B53" s="34" t="s">
        <v>259</v>
      </c>
      <c r="C53" s="35" t="s">
        <v>82</v>
      </c>
      <c r="D53" s="5" t="s">
        <v>410</v>
      </c>
    </row>
    <row r="54" spans="2:4">
      <c r="B54" s="34" t="s">
        <v>150</v>
      </c>
      <c r="C54" s="35" t="s">
        <v>152</v>
      </c>
      <c r="D54" s="5" t="s">
        <v>411</v>
      </c>
    </row>
    <row r="55" spans="2:4">
      <c r="B55" s="34" t="s">
        <v>103</v>
      </c>
      <c r="C55" s="35" t="s">
        <v>105</v>
      </c>
      <c r="D55" s="5" t="s">
        <v>106</v>
      </c>
    </row>
    <row r="56" spans="2:4">
      <c r="B56" s="34" t="s">
        <v>192</v>
      </c>
      <c r="C56" s="35" t="s">
        <v>105</v>
      </c>
      <c r="D56" s="5" t="s">
        <v>412</v>
      </c>
    </row>
    <row r="57" spans="2:4">
      <c r="B57" s="34" t="s">
        <v>339</v>
      </c>
      <c r="C57" s="35" t="s">
        <v>105</v>
      </c>
      <c r="D57" s="5" t="s">
        <v>413</v>
      </c>
    </row>
    <row r="58" spans="2:4">
      <c r="B58" s="34" t="s">
        <v>64</v>
      </c>
      <c r="C58" s="35" t="s">
        <v>66</v>
      </c>
      <c r="D58" s="5" t="s">
        <v>414</v>
      </c>
    </row>
    <row r="59" spans="2:4">
      <c r="B59" s="34" t="s">
        <v>76</v>
      </c>
      <c r="C59" s="35" t="s">
        <v>78</v>
      </c>
      <c r="D59" s="5" t="s">
        <v>415</v>
      </c>
    </row>
    <row r="60" spans="2:4">
      <c r="B60" s="34" t="s">
        <v>111</v>
      </c>
      <c r="C60" s="35" t="s">
        <v>66</v>
      </c>
      <c r="D60" s="5" t="s">
        <v>416</v>
      </c>
    </row>
    <row r="61" spans="2:4">
      <c r="B61" s="34" t="s">
        <v>209</v>
      </c>
      <c r="C61" s="35" t="s">
        <v>66</v>
      </c>
      <c r="D61" s="5" t="s">
        <v>417</v>
      </c>
    </row>
    <row r="62" spans="2:4">
      <c r="B62" s="34" t="s">
        <v>186</v>
      </c>
      <c r="C62" s="35" t="s">
        <v>66</v>
      </c>
      <c r="D62" s="5" t="s">
        <v>418</v>
      </c>
    </row>
  </sheetData>
  <mergeCells count="2">
    <mergeCell ref="B1:D1"/>
    <mergeCell ref="B13:D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Legend &amp; Instructions</vt:lpstr>
      <vt:lpstr>All Companies</vt:lpstr>
      <vt:lpstr>Deep Value - Strong Buy</vt:lpstr>
      <vt:lpstr>Value - Buy</vt:lpstr>
      <vt:lpstr>Fair Value - Hold</vt:lpstr>
      <vt:lpstr>Fully Valued - Trim</vt:lpstr>
      <vt:lpstr>Overvalued - Sell</vt:lpstr>
      <vt:lpstr>Weak Business</vt:lpstr>
      <vt:lpstr>Summary Stats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2026-04-20T20:31:40Z</dcterms:created>
  <dcterms:modified xsi:type="dcterms:W3CDTF">2026-04-20T20:31:40Z</dcterms:modified>
</cp:coreProperties>
</file>