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gend &amp; Instructions" sheetId="1" r:id="rId1"/>
    <sheet name="All Companies" sheetId="2" r:id="rId2"/>
    <sheet name="Deep Value - Strong Buy" sheetId="3" r:id="rId3"/>
    <sheet name="Value - Buy" sheetId="4" r:id="rId4"/>
    <sheet name="Fair Value - Hold" sheetId="5" r:id="rId5"/>
    <sheet name="Fully Valued - Trim" sheetId="6" r:id="rId6"/>
    <sheet name="Overvalued - Sell" sheetId="7" r:id="rId7"/>
    <sheet name="Weak Business" sheetId="8" r:id="rId8"/>
    <sheet name="Summary Stats" sheetId="9" r:id="rId9"/>
  </sheets>
  <definedNames>
    <definedName name="_xlnm._FilterDatabase" localSheetId="1" hidden="1">'All Companies'!$A$2:$P$35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<sst xmlns="http://schemas.openxmlformats.org/spreadsheetml/2006/main" count="378" uniqueCount="212">
  <si>
    <t>Investment Analysis Tracker</t>
  </si>
  <si>
    <t>Buffett-Style Valuation Zone Dashboard</t>
  </si>
  <si>
    <t>VALUATION ZONE COLOR LEGEND</t>
  </si>
  <si>
    <t>Deep Value / Strong Buy</t>
  </si>
  <si>
    <t>Price is significantly below conservative intrinsic value. Maximum margin of safety. Fat pitch.</t>
  </si>
  <si>
    <t>Value / Buy</t>
  </si>
  <si>
    <t>Price is below fair value with adequate margin of safety. Good entry point for long-term investors.</t>
  </si>
  <si>
    <t>Fair Value / Hold</t>
  </si>
  <si>
    <t>Price is around intrinsic value. Hold if owned, don't initiate new positions. No margin of safety.</t>
  </si>
  <si>
    <t>Fully Valued / Trim</t>
  </si>
  <si>
    <t>Price exceeds base-case intrinsic value. Consider trimming. Downside risk exceeds upside.</t>
  </si>
  <si>
    <t>Overvalued / Sell</t>
  </si>
  <si>
    <t>Price is significantly above all intrinsic value estimates. Sell or avoid. Negative returns likely.</t>
  </si>
  <si>
    <t>Weak Business / Never Buy</t>
  </si>
  <si>
    <t>Fundamentally broken business. No price is cheap enough. Fails core Buffett quality criteria.</t>
  </si>
  <si>
    <t>HOW TO USE THIS WORKBOOK</t>
  </si>
  <si>
    <t>Step 1: Enter Current Prices</t>
  </si>
  <si>
    <t>Go to 'All Companies' sheet. Enter today's stock price in the 'Current Price' column (F). Zone + colors update automatically.</t>
  </si>
  <si>
    <t>Step 2: Excel Stocks (Optional)</t>
  </si>
  <si>
    <t>Select ticker cells (col C) &gt; Data tab &gt; Stocks. Excel links to live data. Then use =C3.Price in col F for auto prices.</t>
  </si>
  <si>
    <t>Step 3: Read Zone Colors</t>
  </si>
  <si>
    <t>Entire rows auto-color based on which valuation zone the current price falls in. Green = buy, Red = avoid.</t>
  </si>
  <si>
    <t>Step 4: Category Sheets</t>
  </si>
  <si>
    <t>Each zone has its own sheet with a FILTER formula. Companies auto-appear/disappear as their zone changes with price.</t>
  </si>
  <si>
    <t>Step 5: Add New Companies</t>
  </si>
  <si>
    <t>Add rows at the bottom of 'All Companies'. Fill zone boundaries. Update FILTER range in category sheets if needed.</t>
  </si>
  <si>
    <t>IMPORTANT NOTES</t>
  </si>
  <si>
    <t xml:space="preserve">  All intrinsic values are estimates based on Buffett-style analysis. They are NOT price targets.</t>
  </si>
  <si>
    <t xml:space="preserve">  Zone boundaries are derived from DCF, relative valuation, and margin-of-safety frameworks.</t>
  </si>
  <si>
    <t xml:space="preserve">  Quality Score reflects business quality (moat, management, financials) - NOT valuation attractiveness.</t>
  </si>
  <si>
    <t xml:space="preserve">  A high quality score + Deep Value zone = highest conviction opportunity.</t>
  </si>
  <si>
    <t xml:space="preserve">  Prices and valuations are from the date of analysis. Re-evaluate if fundamentals change materially.</t>
  </si>
  <si>
    <t xml:space="preserve">  This is NOT financial advice. Do your own due diligence before investing.</t>
  </si>
  <si>
    <t>Investment Analysis Tracker - Buffett Valuation Zones</t>
  </si>
  <si>
    <t>Sr.</t>
  </si>
  <si>
    <t>Company Name</t>
  </si>
  <si>
    <t>Ticker</t>
  </si>
  <si>
    <t>Exchange</t>
  </si>
  <si>
    <t>Quality</t>
  </si>
  <si>
    <t>Current Price (Rs)</t>
  </si>
  <si>
    <t>Deep Value
Below (Rs)</t>
  </si>
  <si>
    <t>Value/Buy
Up To (Rs)</t>
  </si>
  <si>
    <t>Fair Value
Up To (Rs)</t>
  </si>
  <si>
    <t>Overvalued
Above (Rs)</t>
  </si>
  <si>
    <t>Conservative
IV (Rs)</t>
  </si>
  <si>
    <t>Base Case
IV (Rs)</t>
  </si>
  <si>
    <t>Optimistic
IV (Rs)</t>
  </si>
  <si>
    <t>Current Zone</t>
  </si>
  <si>
    <t>Upside to
Base IV (%)</t>
  </si>
  <si>
    <t>Key Notes</t>
  </si>
  <si>
    <t>Asian Paints</t>
  </si>
  <si>
    <t>ASIANPAINT</t>
  </si>
  <si>
    <t>NSE</t>
  </si>
  <si>
    <t>8.6/10</t>
  </si>
  <si>
    <t>India's finest paint franchise; 62x PE vs IV ₹922-1,638; AVOID, buy below ₹922</t>
  </si>
  <si>
    <t>Berger Paints India</t>
  </si>
  <si>
    <t>BERGEPAINT</t>
  </si>
  <si>
    <t>6.9/10</t>
  </si>
  <si>
    <t>India #2 paint co; high-quality franchise but overvalued at ₹450; wait for ₹240-310</t>
  </si>
  <si>
    <t>Kansai Nerolac Paints</t>
  </si>
  <si>
    <t>KANSAINER</t>
  </si>
  <si>
    <t>5.6/10</t>
  </si>
  <si>
    <t>#3 paint player with eroding moat; fully valued near Base IV ₹178; buy below ₹135</t>
  </si>
  <si>
    <t>Indigo Paints</t>
  </si>
  <si>
    <t>INDIGOPNTS</t>
  </si>
  <si>
    <t>7.0/10</t>
  </si>
  <si>
    <t>Niche paint co with narrow eroding moat; Birla Opus pressure; wait for ₹550-650</t>
  </si>
  <si>
    <t>Sirca Paints India</t>
  </si>
  <si>
    <t>SIRCA</t>
  </si>
  <si>
    <t>7.4/10</t>
  </si>
  <si>
    <t>Good niche wood-coatings business; fully priced with zero MoS; fat-pitch entry ₹275-315</t>
  </si>
  <si>
    <t>Shalimar Paints</t>
  </si>
  <si>
    <t>SHALPAINTS</t>
  </si>
  <si>
    <t>1.6/10</t>
  </si>
  <si>
    <t>Weak Business</t>
  </si>
  <si>
    <t>Value trap; chronic losses, no moat, eroding equity; STRONG AVOID at any price</t>
  </si>
  <si>
    <t>JSW Dulux</t>
  </si>
  <si>
    <t>JSWDULUX</t>
  </si>
  <si>
    <t>7.8/10</t>
  </si>
  <si>
    <t>Elite 42% ROCE paint franchise; at 2x IV post-divestment; watchlist ₹1,440-1,800</t>
  </si>
  <si>
    <t>Britannia Industries</t>
  </si>
  <si>
    <t>BRITANNIA</t>
  </si>
  <si>
    <t>8.7/10</t>
  </si>
  <si>
    <t>Wonderful biscuit franchise at crazy price; 57x PE vs IV ₹2,030-3,281; watchlist ₹2,700-3,600</t>
  </si>
  <si>
    <t>Marico</t>
  </si>
  <si>
    <t>MARICO</t>
  </si>
  <si>
    <t>Wonderful consumer franchise (40%+ ROIC) at terrible price; avoid at ₹757, watchlist ₹450</t>
  </si>
  <si>
    <t>Page Industries</t>
  </si>
  <si>
    <t>PAGEIND</t>
  </si>
  <si>
    <t>8.8/10</t>
  </si>
  <si>
    <t>Jockey India exclusive; elite ROE but zero MoS at ₹35,400; wait for ₹25,000 or below</t>
  </si>
  <si>
    <t>United Spirits</t>
  </si>
  <si>
    <t>UNITDSPR</t>
  </si>
  <si>
    <t>8.5/10</t>
  </si>
  <si>
    <t>Wonderful Diageo spirits franchise; triple moat; deeply overvalued at 59x PE; wait ₹782</t>
  </si>
  <si>
    <t>Godfrey Phillips India</t>
  </si>
  <si>
    <t>GODFRYPHLP</t>
  </si>
  <si>
    <t>8.4/10</t>
  </si>
  <si>
    <t>Buffett-quality cigarette franchise at fair value; wait for &lt;₹1,646 for strong-buy entry</t>
  </si>
  <si>
    <t>Eternal</t>
  </si>
  <si>
    <t>ETERNAL</t>
  </si>
  <si>
    <t>3.2/10</t>
  </si>
  <si>
    <t>Overvalued consumer tech; negative EBIT, no moat, SBC-diluted; buy only below ₹40-60</t>
  </si>
  <si>
    <t>Cummins India</t>
  </si>
  <si>
    <t>CUMMINSIND</t>
  </si>
  <si>
    <t>8.9/10</t>
  </si>
  <si>
    <t>Tech-moated industrial franchise; 36% ROCE, zero debt. 65x PE prices in perfection</t>
  </si>
  <si>
    <t>Hindustan Aeronautics</t>
  </si>
  <si>
    <t>HAL</t>
  </si>
  <si>
    <t>Wonderful govt-monopoly defence business at full price; wait for 25-30% correction</t>
  </si>
  <si>
    <t>CIE Automotive India</t>
  </si>
  <si>
    <t>CIEINDIA</t>
  </si>
  <si>
    <t>7.3/10</t>
  </si>
  <si>
    <t>Good auto-comp supplier; D/E 0.09, improving margins, EV pivot underway</t>
  </si>
  <si>
    <t>Aeroflex Industries</t>
  </si>
  <si>
    <t>AEROFLEX</t>
  </si>
  <si>
    <t>Niche metal hose exporter; strong ROCE but priced 2-4x IV at ₹289; wait ₹100-150</t>
  </si>
  <si>
    <t>AGI Greenpac</t>
  </si>
  <si>
    <t>AGI</t>
  </si>
  <si>
    <t>5.7/10</t>
  </si>
  <si>
    <t>India's #2 container glass maker; freight-protected oligopoly. HNGIL return threatens OPM</t>
  </si>
  <si>
    <t>Zensar Technologies</t>
  </si>
  <si>
    <t>ZENSARTECH</t>
  </si>
  <si>
    <t>6.7/10</t>
  </si>
  <si>
    <t>Cash-rich mid-tier IT at historically cheap 16x PE; qualified buy with 3-5yr horizon</t>
  </si>
  <si>
    <t>Sonata Software</t>
  </si>
  <si>
    <t>SONATSOFTW</t>
  </si>
  <si>
    <t>6.3/10</t>
  </si>
  <si>
    <t>Microsoft ecosystem IT; margin recovery thesis conditional on EBIT rebound from trough</t>
  </si>
  <si>
    <t>CMS Info Systems</t>
  </si>
  <si>
    <t>CMSINFO</t>
  </si>
  <si>
    <t>India's #1 cash mgmt; zero debt, 24%+ ROCE. 3.2:1 asymmetry; accumulate ₹240-320</t>
  </si>
  <si>
    <t>Laurus Labs</t>
  </si>
  <si>
    <t>LAURUSLABS</t>
  </si>
  <si>
    <t>World's largest ARV API supplier + growing CDMO; founder-CEO. Cyclical, capital-intensive</t>
  </si>
  <si>
    <t>Kronox Lab Sciences</t>
  </si>
  <si>
    <t>KRONOX</t>
  </si>
  <si>
    <t>7.7/10</t>
  </si>
  <si>
    <t>High-purity specialty fine chemicals; 30%+ OPM, zero debt. Micro-cap switching cost moat</t>
  </si>
  <si>
    <t>NMDC</t>
  </si>
  <si>
    <t>6.0/10</t>
  </si>
  <si>
    <t>India's largest iron ore miner; low-cost producer, zero debt. Fair value; accumulate on dips</t>
  </si>
  <si>
    <t>Vedanta</t>
  </si>
  <si>
    <t>VEDL</t>
  </si>
  <si>
    <t>4.8/10</t>
  </si>
  <si>
    <t>Commodity conglomerate; governance concerns, high leverage. Overvalued vs normalised earnings</t>
  </si>
  <si>
    <t>National Aluminium Company</t>
  </si>
  <si>
    <t>NATIONALUM</t>
  </si>
  <si>
    <t>Low-cost aluminium PSU at cyclical peak; normalised IV ₹188; accumulate at 1.5-2x book</t>
  </si>
  <si>
    <t>Bharat Coking Coal</t>
  </si>
  <si>
    <t>BHARATCOAL</t>
  </si>
  <si>
    <t>4.7/10</t>
  </si>
  <si>
    <t>Cyclical PSU coal miner; overvalued vs mid-cycle IV; AVOID, revisit below ₹25</t>
  </si>
  <si>
    <t>NTPC</t>
  </si>
  <si>
    <t>6.8/10</t>
  </si>
  <si>
    <t>Regulated utility; fully valued at 16.4x PE; HOLD/WAIT, buy below ₹314</t>
  </si>
  <si>
    <t>Advait Energy Transitions</t>
  </si>
  <si>
    <t>ADVAIT</t>
  </si>
  <si>
    <t>5.8/10</t>
  </si>
  <si>
    <t>Good EPC growth biz, narrow moat; bimodal valuation; avoid &gt;₹1,200; buy below ₹800</t>
  </si>
  <si>
    <t>InterGlobe Aviation</t>
  </si>
  <si>
    <t>INDIGO</t>
  </si>
  <si>
    <t>6.2/10</t>
  </si>
  <si>
    <t>India's dominant LCC; fair-priced; accumulate on dips below ₹4,000-4,200</t>
  </si>
  <si>
    <t>BLS International</t>
  </si>
  <si>
    <t>BLS</t>
  </si>
  <si>
    <t>Toll-bridge on global visa outsourcing; BUY with 57% MoS to Base IV ₹694</t>
  </si>
  <si>
    <t>IRFC</t>
  </si>
  <si>
    <t>Govt-backed NBFC, zero NPAs; borderline returns at ₹92 (2.14x book); accumulate ₹52-69</t>
  </si>
  <si>
    <t>Aelea Commodities</t>
  </si>
  <si>
    <t>544213</t>
  </si>
  <si>
    <t>BSE</t>
  </si>
  <si>
    <t>4.0/10</t>
  </si>
  <si>
    <t>No-moat cashew processor; overpriced at 3.9x book; never generated positive FCF; avoid</t>
  </si>
  <si>
    <t>Deep Value - Strong Buy Zone</t>
  </si>
  <si>
    <t>Companies trading significantly below intrinsic value. Maximum margin of safety. Fat pitch opportunities. (Auto-updates as prices change in 'All Companies' sheet)</t>
  </si>
  <si>
    <t>Deep Value Below (Rs)</t>
  </si>
  <si>
    <t>Value/Buy Up To (Rs)</t>
  </si>
  <si>
    <t>Fair Value Up To (Rs)</t>
  </si>
  <si>
    <t>Overvalued Above (Rs)</t>
  </si>
  <si>
    <t>Conservative IV (Rs)</t>
  </si>
  <si>
    <t>Base Case IV (Rs)</t>
  </si>
  <si>
    <t>Optimistic IV (Rs)</t>
  </si>
  <si>
    <t>Upside to Base IV (%)</t>
  </si>
  <si>
    <t>Value - Buy Zone</t>
  </si>
  <si>
    <t>Companies trading below fair value with adequate margin of safety. Good entry points. (Auto-updates as prices change in 'All Companies' sheet)</t>
  </si>
  <si>
    <t>Fair Value - Hold Zone</t>
  </si>
  <si>
    <t>Companies trading around intrinsic value. Hold if owned, don't initiate new positions. (Auto-updates as prices change in 'All Companies' sheet)</t>
  </si>
  <si>
    <t>Fully Valued - Trim Zone</t>
  </si>
  <si>
    <t>Companies trading above base-case intrinsic value. Consider trimming positions. (Auto-updates as prices change in 'All Companies' sheet)</t>
  </si>
  <si>
    <t>Overvalued - Sell Zone</t>
  </si>
  <si>
    <t>Companies significantly above all intrinsic value estimates. Sell or avoid entirely. (Auto-updates as prices change in 'All Companies' sheet)</t>
  </si>
  <si>
    <t>Weak Business Zone</t>
  </si>
  <si>
    <t>Fundamentally broken businesses. No price is cheap enough. Never buy. (Auto-updates as prices change in 'All Companies' sheet)</t>
  </si>
  <si>
    <t>Portfolio Zone Distribution</t>
  </si>
  <si>
    <t>Zone</t>
  </si>
  <si>
    <t>Count</t>
  </si>
  <si>
    <t>Description</t>
  </si>
  <si>
    <t>Maximum margin of safety - fat pitch opportunities</t>
  </si>
  <si>
    <t>Below fair value - good entry points</t>
  </si>
  <si>
    <t>Around intrinsic value - hold, don't buy</t>
  </si>
  <si>
    <t>Above intrinsic value - consider trimming</t>
  </si>
  <si>
    <t>Significantly overvalued - sell or avoid</t>
  </si>
  <si>
    <t>Fundamentally broken - never buy</t>
  </si>
  <si>
    <t>Enter Price</t>
  </si>
  <si>
    <t>Price not yet entered</t>
  </si>
  <si>
    <t>TOTAL</t>
  </si>
  <si>
    <t>HIGHEST CONVICTION BUSINESSES (Ranked by Fundamental Quality)</t>
  </si>
  <si>
    <t>Company</t>
  </si>
  <si>
    <t>Business Moat &amp; Fundamentals</t>
  </si>
  <si>
    <t>Tech-moated industrial franchise; 36% ROCE, zero debt</t>
  </si>
  <si>
    <t>High-purity specialty fine chemicals; 30%+ OPM, zero debt</t>
  </si>
</sst>
</file>

<file path=xl/styles.xml><?xml version="1.0" encoding="utf-8"?>
<styleSheet xmlns="http://schemas.openxmlformats.org/spreadsheetml/2006/main">
  <numFmts count="1">
    <numFmt numFmtId="164" formatCode="#,##0"/>
  </numFmts>
  <fonts count="14">
    <font>
      <sz val="11"/>
      <color theme="1"/>
      <name val="Calibri"/>
      <family val="2"/>
      <scheme val="minor"/>
    </font>
    <font>
      <b/>
      <sz val="20"/>
      <color rgb="FF2C3E50"/>
      <name val="Calibri"/>
      <family val="2"/>
      <scheme val="minor"/>
    </font>
    <font>
      <i/>
      <sz val="13"/>
      <color rgb="FF7F8C8D"/>
      <name val="Calibri"/>
      <family val="2"/>
      <scheme val="minor"/>
    </font>
    <font>
      <b/>
      <sz val="13"/>
      <color rgb="FF2C3E5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4"/>
      <color rgb="FF333333"/>
      <name val="Calibri"/>
      <family val="2"/>
      <scheme val="minor"/>
    </font>
    <font>
      <b/>
      <sz val="14"/>
      <color rgb="FF2C3E5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DC143C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DAA52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/>
    <xf numFmtId="0" fontId="9" fillId="8" borderId="0" xfId="0" applyFont="1" applyFill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vertical="center"/>
    </xf>
    <xf numFmtId="164" fontId="0" fillId="9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10" fillId="0" borderId="0" xfId="0" applyFont="1"/>
    <xf numFmtId="0" fontId="9" fillId="10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2" fillId="0" borderId="0" xfId="0" applyFont="1"/>
    <xf numFmtId="0" fontId="13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7" fillId="3" borderId="1" xfId="0" applyFont="1" applyFill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6">
    <dxf>
      <font>
        <b/>
        <color rgb="FFFFFFFF"/>
      </font>
      <fill>
        <patternFill>
          <bgColor rgb="FF0064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0000"/>
      </font>
      <fill>
        <patternFill>
          <bgColor rgb="FF90EE9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333333"/>
      </font>
      <fill>
        <patternFill>
          <bgColor rgb="FFFFD7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FF8C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DC143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1A1A1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C3E50"/>
  </sheetPr>
  <dimension ref="B2:C35"/>
  <sheetViews>
    <sheetView showGridLines="0" tabSelected="1" workbookViewId="0"/>
  </sheetViews>
  <sheetFormatPr defaultRowHeight="15"/>
  <cols>
    <col min="1" max="1" width="5.7109375" customWidth="1"/>
    <col min="2" max="2" width="30.7109375" customWidth="1"/>
    <col min="3" max="3" width="60.7109375" customWidth="1"/>
  </cols>
  <sheetData>
    <row r="2" spans="2:3">
      <c r="B2" s="1" t="s">
        <v>0</v>
      </c>
      <c r="C2" s="1"/>
    </row>
    <row r="3" spans="2:3">
      <c r="B3" s="2" t="s">
        <v>1</v>
      </c>
      <c r="C3" s="2"/>
    </row>
    <row r="5" spans="2:3">
      <c r="B5" s="3" t="s">
        <v>2</v>
      </c>
      <c r="C5" s="3"/>
    </row>
    <row r="7" spans="2:3">
      <c r="B7" s="4" t="s">
        <v>3</v>
      </c>
      <c r="C7" s="5" t="s">
        <v>4</v>
      </c>
    </row>
    <row r="8" spans="2:3">
      <c r="B8" s="6" t="s">
        <v>5</v>
      </c>
      <c r="C8" s="5" t="s">
        <v>6</v>
      </c>
    </row>
    <row r="9" spans="2:3">
      <c r="B9" s="7" t="s">
        <v>7</v>
      </c>
      <c r="C9" s="5" t="s">
        <v>8</v>
      </c>
    </row>
    <row r="10" spans="2:3">
      <c r="B10" s="8" t="s">
        <v>9</v>
      </c>
      <c r="C10" s="5" t="s">
        <v>10</v>
      </c>
    </row>
    <row r="11" spans="2:3">
      <c r="B11" s="9" t="s">
        <v>11</v>
      </c>
      <c r="C11" s="5" t="s">
        <v>12</v>
      </c>
    </row>
    <row r="12" spans="2:3">
      <c r="B12" s="10" t="s">
        <v>13</v>
      </c>
      <c r="C12" s="5" t="s">
        <v>14</v>
      </c>
    </row>
    <row r="15" spans="2:3">
      <c r="B15" s="3" t="s">
        <v>15</v>
      </c>
      <c r="C15" s="3"/>
    </row>
    <row r="17" spans="2:3">
      <c r="B17" s="11" t="s">
        <v>16</v>
      </c>
      <c r="C17" s="12" t="s">
        <v>17</v>
      </c>
    </row>
    <row r="19" spans="2:3">
      <c r="B19" s="11" t="s">
        <v>18</v>
      </c>
      <c r="C19" s="12" t="s">
        <v>19</v>
      </c>
    </row>
    <row r="21" spans="2:3">
      <c r="B21" s="11" t="s">
        <v>20</v>
      </c>
      <c r="C21" s="12" t="s">
        <v>21</v>
      </c>
    </row>
    <row r="23" spans="2:3">
      <c r="B23" s="11" t="s">
        <v>22</v>
      </c>
      <c r="C23" s="12" t="s">
        <v>23</v>
      </c>
    </row>
    <row r="25" spans="2:3">
      <c r="B25" s="11" t="s">
        <v>24</v>
      </c>
      <c r="C25" s="12" t="s">
        <v>25</v>
      </c>
    </row>
    <row r="28" spans="2:3">
      <c r="B28" s="3" t="s">
        <v>26</v>
      </c>
      <c r="C28" s="3"/>
    </row>
    <row r="30" spans="2:3">
      <c r="B30" s="13" t="s">
        <v>27</v>
      </c>
      <c r="C30" s="13"/>
    </row>
    <row r="31" spans="2:3">
      <c r="B31" s="13" t="s">
        <v>28</v>
      </c>
      <c r="C31" s="13"/>
    </row>
    <row r="32" spans="2:3">
      <c r="B32" s="13" t="s">
        <v>29</v>
      </c>
      <c r="C32" s="13"/>
    </row>
    <row r="33" spans="2:3">
      <c r="B33" s="13" t="s">
        <v>30</v>
      </c>
      <c r="C33" s="13"/>
    </row>
    <row r="34" spans="2:3">
      <c r="B34" s="13" t="s">
        <v>31</v>
      </c>
      <c r="C34" s="13"/>
    </row>
    <row r="35" spans="2:3">
      <c r="B35" s="13" t="s">
        <v>32</v>
      </c>
      <c r="C35" s="13"/>
    </row>
  </sheetData>
  <mergeCells count="11">
    <mergeCell ref="B2:C2"/>
    <mergeCell ref="B3:C3"/>
    <mergeCell ref="B5:C5"/>
    <mergeCell ref="B15:C15"/>
    <mergeCell ref="B28:C28"/>
    <mergeCell ref="B30:C30"/>
    <mergeCell ref="B31:C31"/>
    <mergeCell ref="B32:C32"/>
    <mergeCell ref="B33:C33"/>
    <mergeCell ref="B34:C34"/>
    <mergeCell ref="B35:C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498DB"/>
  </sheetPr>
  <dimension ref="A1:P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5.7109375" customWidth="1"/>
    <col min="2" max="2" width="30.7109375" customWidth="1"/>
    <col min="3" max="3" width="14.7109375" customWidth="1"/>
    <col min="4" max="5" width="10.7109375" customWidth="1"/>
    <col min="6" max="6" width="18.7109375" customWidth="1"/>
    <col min="7" max="13" width="14.7109375" customWidth="1"/>
    <col min="14" max="14" width="22.7109375" customWidth="1"/>
    <col min="15" max="15" width="14.7109375" customWidth="1"/>
    <col min="16" max="16" width="55.7109375" customWidth="1"/>
  </cols>
  <sheetData>
    <row r="1" spans="1:16" ht="30" customHeight="1">
      <c r="A1" s="14" t="s">
        <v>33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35" customHeight="1">
      <c r="A2" s="15" t="s">
        <v>34</v>
      </c>
      <c r="B2" s="15" t="s">
        <v>35</v>
      </c>
      <c r="C2" s="15" t="s">
        <v>36</v>
      </c>
      <c r="D2" s="15" t="s">
        <v>37</v>
      </c>
      <c r="E2" s="15" t="s">
        <v>38</v>
      </c>
      <c r="F2" s="15" t="s">
        <v>39</v>
      </c>
      <c r="G2" s="15" t="s">
        <v>40</v>
      </c>
      <c r="H2" s="15" t="s">
        <v>41</v>
      </c>
      <c r="I2" s="15" t="s">
        <v>42</v>
      </c>
      <c r="J2" s="15" t="s">
        <v>43</v>
      </c>
      <c r="K2" s="15" t="s">
        <v>44</v>
      </c>
      <c r="L2" s="15" t="s">
        <v>45</v>
      </c>
      <c r="M2" s="15" t="s">
        <v>46</v>
      </c>
      <c r="N2" s="15" t="s">
        <v>47</v>
      </c>
      <c r="O2" s="15" t="s">
        <v>48</v>
      </c>
      <c r="P2" s="15" t="s">
        <v>49</v>
      </c>
    </row>
    <row r="3" spans="1:16" ht="22" customHeight="1">
      <c r="A3" s="16">
        <v>1</v>
      </c>
      <c r="B3" s="17" t="s">
        <v>50</v>
      </c>
      <c r="C3" s="16" t="s">
        <v>51</v>
      </c>
      <c r="D3" s="16" t="s">
        <v>52</v>
      </c>
      <c r="E3" s="16" t="s">
        <v>53</v>
      </c>
      <c r="F3" s="18"/>
      <c r="G3" s="18">
        <v>645</v>
      </c>
      <c r="H3" s="18">
        <v>922</v>
      </c>
      <c r="I3" s="18">
        <v>1198</v>
      </c>
      <c r="J3" s="18">
        <v>1638</v>
      </c>
      <c r="K3" s="18">
        <v>922</v>
      </c>
      <c r="L3" s="18">
        <v>1198</v>
      </c>
      <c r="M3" s="18">
        <v>1638</v>
      </c>
      <c r="N3" s="16">
        <f>IF(F3="","Enter Price",IF(F3&lt;=G3,"Deep Value / Strong Buy",IF(F3&lt;=H3,"Value / Buy",IF(F3&lt;=I3,"Fair Value / Hold",IF(F3&lt;=J3,"Fully Valued / Trim","Overvalued / Sell")))))</f>
        <v>0</v>
      </c>
      <c r="O3" s="16">
        <f>IF(OR(F3="",F3=0),"N/A",ROUND((L3-F3)/F3*100,1))</f>
        <v>0</v>
      </c>
      <c r="P3" s="19" t="s">
        <v>54</v>
      </c>
    </row>
    <row r="4" spans="1:16" ht="22" customHeight="1">
      <c r="A4" s="20">
        <v>2</v>
      </c>
      <c r="B4" s="21" t="s">
        <v>55</v>
      </c>
      <c r="C4" s="20" t="s">
        <v>56</v>
      </c>
      <c r="D4" s="20" t="s">
        <v>52</v>
      </c>
      <c r="E4" s="20" t="s">
        <v>57</v>
      </c>
      <c r="F4" s="22"/>
      <c r="G4" s="22">
        <v>240</v>
      </c>
      <c r="H4" s="22">
        <v>336</v>
      </c>
      <c r="I4" s="22">
        <v>432</v>
      </c>
      <c r="J4" s="22">
        <v>528</v>
      </c>
      <c r="K4" s="22">
        <v>210</v>
      </c>
      <c r="L4" s="22">
        <v>310</v>
      </c>
      <c r="M4" s="22">
        <v>399</v>
      </c>
      <c r="N4" s="20">
        <f>IF(F4="","Enter Price",IF(F4&lt;=G4,"Deep Value / Strong Buy",IF(F4&lt;=H4,"Value / Buy",IF(F4&lt;=I4,"Fair Value / Hold",IF(F4&lt;=J4,"Fully Valued / Trim","Overvalued / Sell")))))</f>
        <v>0</v>
      </c>
      <c r="O4" s="20">
        <f>IF(OR(F4="",F4=0),"N/A",ROUND((L4-F4)/F4*100,1))</f>
        <v>0</v>
      </c>
      <c r="P4" s="23" t="s">
        <v>58</v>
      </c>
    </row>
    <row r="5" spans="1:16" ht="22" customHeight="1">
      <c r="A5" s="16">
        <v>3</v>
      </c>
      <c r="B5" s="17" t="s">
        <v>59</v>
      </c>
      <c r="C5" s="16" t="s">
        <v>60</v>
      </c>
      <c r="D5" s="16" t="s">
        <v>52</v>
      </c>
      <c r="E5" s="16" t="s">
        <v>61</v>
      </c>
      <c r="F5" s="18"/>
      <c r="G5" s="18">
        <v>100</v>
      </c>
      <c r="H5" s="18">
        <v>135</v>
      </c>
      <c r="I5" s="18">
        <v>165</v>
      </c>
      <c r="J5" s="18">
        <v>200</v>
      </c>
      <c r="K5" s="18">
        <v>136</v>
      </c>
      <c r="L5" s="18">
        <v>178</v>
      </c>
      <c r="M5" s="18">
        <v>211</v>
      </c>
      <c r="N5" s="16">
        <f>IF(F5="","Enter Price",IF(F5&lt;=G5,"Deep Value / Strong Buy",IF(F5&lt;=H5,"Value / Buy",IF(F5&lt;=I5,"Fair Value / Hold",IF(F5&lt;=J5,"Fully Valued / Trim","Overvalued / Sell")))))</f>
        <v>0</v>
      </c>
      <c r="O5" s="16">
        <f>IF(OR(F5="",F5=0),"N/A",ROUND((L5-F5)/F5*100,1))</f>
        <v>0</v>
      </c>
      <c r="P5" s="19" t="s">
        <v>62</v>
      </c>
    </row>
    <row r="6" spans="1:16" ht="22" customHeight="1">
      <c r="A6" s="20">
        <v>4</v>
      </c>
      <c r="B6" s="21" t="s">
        <v>63</v>
      </c>
      <c r="C6" s="20" t="s">
        <v>64</v>
      </c>
      <c r="D6" s="20" t="s">
        <v>52</v>
      </c>
      <c r="E6" s="20" t="s">
        <v>65</v>
      </c>
      <c r="F6" s="22"/>
      <c r="G6" s="22">
        <v>550</v>
      </c>
      <c r="H6" s="22">
        <v>670</v>
      </c>
      <c r="I6" s="22">
        <v>850</v>
      </c>
      <c r="J6" s="22">
        <v>1065</v>
      </c>
      <c r="K6" s="22">
        <v>774</v>
      </c>
      <c r="L6" s="22">
        <v>929</v>
      </c>
      <c r="M6" s="22">
        <v>1207</v>
      </c>
      <c r="N6" s="20">
        <f>IF(F6="","Enter Price",IF(F6&lt;=G6,"Deep Value / Strong Buy",IF(F6&lt;=H6,"Value / Buy",IF(F6&lt;=I6,"Fair Value / Hold",IF(F6&lt;=J6,"Fully Valued / Trim","Overvalued / Sell")))))</f>
        <v>0</v>
      </c>
      <c r="O6" s="20">
        <f>IF(OR(F6="",F6=0),"N/A",ROUND((L6-F6)/F6*100,1))</f>
        <v>0</v>
      </c>
      <c r="P6" s="23" t="s">
        <v>66</v>
      </c>
    </row>
    <row r="7" spans="1:16" ht="22" customHeight="1">
      <c r="A7" s="16">
        <v>5</v>
      </c>
      <c r="B7" s="17" t="s">
        <v>67</v>
      </c>
      <c r="C7" s="16" t="s">
        <v>68</v>
      </c>
      <c r="D7" s="16" t="s">
        <v>52</v>
      </c>
      <c r="E7" s="16" t="s">
        <v>69</v>
      </c>
      <c r="F7" s="18"/>
      <c r="G7" s="18">
        <v>220</v>
      </c>
      <c r="H7" s="18">
        <v>308</v>
      </c>
      <c r="I7" s="18">
        <v>396</v>
      </c>
      <c r="J7" s="18">
        <v>550</v>
      </c>
      <c r="K7" s="18">
        <v>366</v>
      </c>
      <c r="L7" s="18">
        <v>442</v>
      </c>
      <c r="M7" s="18">
        <v>658</v>
      </c>
      <c r="N7" s="16">
        <f>IF(F7="","Enter Price",IF(F7&lt;=G7,"Deep Value / Strong Buy",IF(F7&lt;=H7,"Value / Buy",IF(F7&lt;=I7,"Fair Value / Hold",IF(F7&lt;=J7,"Fully Valued / Trim","Overvalued / Sell")))))</f>
        <v>0</v>
      </c>
      <c r="O7" s="16">
        <f>IF(OR(F7="",F7=0),"N/A",ROUND((L7-F7)/F7*100,1))</f>
        <v>0</v>
      </c>
      <c r="P7" s="19" t="s">
        <v>70</v>
      </c>
    </row>
    <row r="8" spans="1:16" ht="22" customHeight="1">
      <c r="A8" s="20">
        <v>6</v>
      </c>
      <c r="B8" s="21" t="s">
        <v>71</v>
      </c>
      <c r="C8" s="20" t="s">
        <v>72</v>
      </c>
      <c r="D8" s="20" t="s">
        <v>52</v>
      </c>
      <c r="E8" s="20" t="s">
        <v>73</v>
      </c>
      <c r="F8" s="22"/>
      <c r="G8" s="22">
        <v>0</v>
      </c>
      <c r="H8" s="22">
        <v>0</v>
      </c>
      <c r="I8" s="22">
        <v>0</v>
      </c>
      <c r="J8" s="22">
        <v>49</v>
      </c>
      <c r="K8" s="22">
        <v>0</v>
      </c>
      <c r="L8" s="22">
        <v>22</v>
      </c>
      <c r="M8" s="22">
        <v>35</v>
      </c>
      <c r="N8" s="20" t="s">
        <v>74</v>
      </c>
      <c r="O8" s="20">
        <f>IF(OR(F8="",F8=0),"N/A",ROUND((L8-F8)/F8*100,1))</f>
        <v>0</v>
      </c>
      <c r="P8" s="23" t="s">
        <v>75</v>
      </c>
    </row>
    <row r="9" spans="1:16" ht="22" customHeight="1">
      <c r="A9" s="16">
        <v>7</v>
      </c>
      <c r="B9" s="17" t="s">
        <v>76</v>
      </c>
      <c r="C9" s="16" t="s">
        <v>77</v>
      </c>
      <c r="D9" s="16" t="s">
        <v>52</v>
      </c>
      <c r="E9" s="16" t="s">
        <v>78</v>
      </c>
      <c r="F9" s="18"/>
      <c r="G9" s="18">
        <v>1440</v>
      </c>
      <c r="H9" s="18">
        <v>2016</v>
      </c>
      <c r="I9" s="18">
        <v>2520</v>
      </c>
      <c r="J9" s="18">
        <v>3240</v>
      </c>
      <c r="K9" s="18">
        <v>1071</v>
      </c>
      <c r="L9" s="18">
        <v>1451</v>
      </c>
      <c r="M9" s="18">
        <v>2082</v>
      </c>
      <c r="N9" s="16">
        <f>IF(F9="","Enter Price",IF(F9&lt;=G9,"Deep Value / Strong Buy",IF(F9&lt;=H9,"Value / Buy",IF(F9&lt;=I9,"Fair Value / Hold",IF(F9&lt;=J9,"Fully Valued / Trim","Overvalued / Sell")))))</f>
        <v>0</v>
      </c>
      <c r="O9" s="16">
        <f>IF(OR(F9="",F9=0),"N/A",ROUND((L9-F9)/F9*100,1))</f>
        <v>0</v>
      </c>
      <c r="P9" s="19" t="s">
        <v>79</v>
      </c>
    </row>
    <row r="10" spans="1:16" ht="22" customHeight="1">
      <c r="A10" s="20">
        <v>8</v>
      </c>
      <c r="B10" s="21" t="s">
        <v>80</v>
      </c>
      <c r="C10" s="20" t="s">
        <v>81</v>
      </c>
      <c r="D10" s="20" t="s">
        <v>52</v>
      </c>
      <c r="E10" s="20" t="s">
        <v>82</v>
      </c>
      <c r="F10" s="22"/>
      <c r="G10" s="22">
        <v>2700</v>
      </c>
      <c r="H10" s="22">
        <v>3600</v>
      </c>
      <c r="I10" s="22">
        <v>5000</v>
      </c>
      <c r="J10" s="22">
        <v>5900</v>
      </c>
      <c r="K10" s="22">
        <v>2030</v>
      </c>
      <c r="L10" s="22">
        <v>2369</v>
      </c>
      <c r="M10" s="22">
        <v>3281</v>
      </c>
      <c r="N10" s="20">
        <f>IF(F10="","Enter Price",IF(F10&lt;=G10,"Deep Value / Strong Buy",IF(F10&lt;=H10,"Value / Buy",IF(F10&lt;=I10,"Fair Value / Hold",IF(F10&lt;=J10,"Fully Valued / Trim","Overvalued / Sell")))))</f>
        <v>0</v>
      </c>
      <c r="O10" s="20">
        <f>IF(OR(F10="",F10=0),"N/A",ROUND((L10-F10)/F10*100,1))</f>
        <v>0</v>
      </c>
      <c r="P10" s="23" t="s">
        <v>83</v>
      </c>
    </row>
    <row r="11" spans="1:16" ht="22" customHeight="1">
      <c r="A11" s="16">
        <v>9</v>
      </c>
      <c r="B11" s="17" t="s">
        <v>84</v>
      </c>
      <c r="C11" s="16" t="s">
        <v>85</v>
      </c>
      <c r="D11" s="16" t="s">
        <v>52</v>
      </c>
      <c r="E11" s="16" t="s">
        <v>53</v>
      </c>
      <c r="F11" s="18"/>
      <c r="G11" s="18">
        <v>397</v>
      </c>
      <c r="H11" s="18">
        <v>529</v>
      </c>
      <c r="I11" s="18">
        <v>661</v>
      </c>
      <c r="J11" s="18">
        <v>793</v>
      </c>
      <c r="K11" s="18">
        <v>349</v>
      </c>
      <c r="L11" s="18">
        <v>421</v>
      </c>
      <c r="M11" s="18">
        <v>578</v>
      </c>
      <c r="N11" s="16">
        <f>IF(F11="","Enter Price",IF(F11&lt;=G11,"Deep Value / Strong Buy",IF(F11&lt;=H11,"Value / Buy",IF(F11&lt;=I11,"Fair Value / Hold",IF(F11&lt;=J11,"Fully Valued / Trim","Overvalued / Sell")))))</f>
        <v>0</v>
      </c>
      <c r="O11" s="16">
        <f>IF(OR(F11="",F11=0),"N/A",ROUND((L11-F11)/F11*100,1))</f>
        <v>0</v>
      </c>
      <c r="P11" s="19" t="s">
        <v>86</v>
      </c>
    </row>
    <row r="12" spans="1:16" ht="22" customHeight="1">
      <c r="A12" s="20">
        <v>10</v>
      </c>
      <c r="B12" s="21" t="s">
        <v>87</v>
      </c>
      <c r="C12" s="20" t="s">
        <v>88</v>
      </c>
      <c r="D12" s="20" t="s">
        <v>52</v>
      </c>
      <c r="E12" s="20" t="s">
        <v>89</v>
      </c>
      <c r="F12" s="22"/>
      <c r="G12" s="22">
        <v>18930</v>
      </c>
      <c r="H12" s="22">
        <v>25240</v>
      </c>
      <c r="I12" s="22">
        <v>35336</v>
      </c>
      <c r="J12" s="22">
        <v>44170</v>
      </c>
      <c r="K12" s="22">
        <v>11049</v>
      </c>
      <c r="L12" s="22">
        <v>17549</v>
      </c>
      <c r="M12" s="22">
        <v>21260</v>
      </c>
      <c r="N12" s="20">
        <f>IF(F12="","Enter Price",IF(F12&lt;=G12,"Deep Value / Strong Buy",IF(F12&lt;=H12,"Value / Buy",IF(F12&lt;=I12,"Fair Value / Hold",IF(F12&lt;=J12,"Fully Valued / Trim","Overvalued / Sell")))))</f>
        <v>0</v>
      </c>
      <c r="O12" s="20">
        <f>IF(OR(F12="",F12=0),"N/A",ROUND((L12-F12)/F12*100,1))</f>
        <v>0</v>
      </c>
      <c r="P12" s="23" t="s">
        <v>90</v>
      </c>
    </row>
    <row r="13" spans="1:16" ht="22" customHeight="1">
      <c r="A13" s="16">
        <v>11</v>
      </c>
      <c r="B13" s="17" t="s">
        <v>91</v>
      </c>
      <c r="C13" s="16" t="s">
        <v>92</v>
      </c>
      <c r="D13" s="16" t="s">
        <v>52</v>
      </c>
      <c r="E13" s="16" t="s">
        <v>93</v>
      </c>
      <c r="F13" s="18"/>
      <c r="G13" s="18">
        <v>559</v>
      </c>
      <c r="H13" s="18">
        <v>782</v>
      </c>
      <c r="I13" s="18">
        <v>1118</v>
      </c>
      <c r="J13" s="18">
        <v>1453</v>
      </c>
      <c r="K13" s="18">
        <v>551</v>
      </c>
      <c r="L13" s="18">
        <v>667</v>
      </c>
      <c r="M13" s="18">
        <v>914</v>
      </c>
      <c r="N13" s="16">
        <f>IF(F13="","Enter Price",IF(F13&lt;=G13,"Deep Value / Strong Buy",IF(F13&lt;=H13,"Value / Buy",IF(F13&lt;=I13,"Fair Value / Hold",IF(F13&lt;=J13,"Fully Valued / Trim","Overvalued / Sell")))))</f>
        <v>0</v>
      </c>
      <c r="O13" s="16">
        <f>IF(OR(F13="",F13=0),"N/A",ROUND((L13-F13)/F13*100,1))</f>
        <v>0</v>
      </c>
      <c r="P13" s="19" t="s">
        <v>94</v>
      </c>
    </row>
    <row r="14" spans="1:16" ht="22" customHeight="1">
      <c r="A14" s="20">
        <v>12</v>
      </c>
      <c r="B14" s="21" t="s">
        <v>95</v>
      </c>
      <c r="C14" s="20" t="s">
        <v>96</v>
      </c>
      <c r="D14" s="20" t="s">
        <v>52</v>
      </c>
      <c r="E14" s="20" t="s">
        <v>97</v>
      </c>
      <c r="F14" s="22"/>
      <c r="G14" s="22">
        <v>1646</v>
      </c>
      <c r="H14" s="22">
        <v>1975</v>
      </c>
      <c r="I14" s="22">
        <v>2305</v>
      </c>
      <c r="J14" s="22">
        <v>2881</v>
      </c>
      <c r="K14" s="22">
        <v>1545</v>
      </c>
      <c r="L14" s="22">
        <v>2230</v>
      </c>
      <c r="M14" s="22">
        <v>2838</v>
      </c>
      <c r="N14" s="20">
        <f>IF(F14="","Enter Price",IF(F14&lt;=G14,"Deep Value / Strong Buy",IF(F14&lt;=H14,"Value / Buy",IF(F14&lt;=I14,"Fair Value / Hold",IF(F14&lt;=J14,"Fully Valued / Trim","Overvalued / Sell")))))</f>
        <v>0</v>
      </c>
      <c r="O14" s="20">
        <f>IF(OR(F14="",F14=0),"N/A",ROUND((L14-F14)/F14*100,1))</f>
        <v>0</v>
      </c>
      <c r="P14" s="23" t="s">
        <v>98</v>
      </c>
    </row>
    <row r="15" spans="1:16" ht="22" customHeight="1">
      <c r="A15" s="16">
        <v>13</v>
      </c>
      <c r="B15" s="17" t="s">
        <v>99</v>
      </c>
      <c r="C15" s="16" t="s">
        <v>100</v>
      </c>
      <c r="D15" s="16" t="s">
        <v>52</v>
      </c>
      <c r="E15" s="16" t="s">
        <v>101</v>
      </c>
      <c r="F15" s="18"/>
      <c r="G15" s="18">
        <v>40</v>
      </c>
      <c r="H15" s="18">
        <v>60</v>
      </c>
      <c r="I15" s="18">
        <v>100</v>
      </c>
      <c r="J15" s="18">
        <v>150</v>
      </c>
      <c r="K15" s="18">
        <v>43</v>
      </c>
      <c r="L15" s="18">
        <v>79</v>
      </c>
      <c r="M15" s="18">
        <v>152</v>
      </c>
      <c r="N15" s="16" t="s">
        <v>74</v>
      </c>
      <c r="O15" s="16">
        <f>IF(OR(F15="",F15=0),"N/A",ROUND((L15-F15)/F15*100,1))</f>
        <v>0</v>
      </c>
      <c r="P15" s="19" t="s">
        <v>102</v>
      </c>
    </row>
    <row r="16" spans="1:16" ht="22" customHeight="1">
      <c r="A16" s="20">
        <v>14</v>
      </c>
      <c r="B16" s="21" t="s">
        <v>103</v>
      </c>
      <c r="C16" s="20" t="s">
        <v>104</v>
      </c>
      <c r="D16" s="20" t="s">
        <v>52</v>
      </c>
      <c r="E16" s="20" t="s">
        <v>105</v>
      </c>
      <c r="F16" s="22"/>
      <c r="G16" s="22">
        <v>1617</v>
      </c>
      <c r="H16" s="22">
        <v>2426</v>
      </c>
      <c r="I16" s="22">
        <v>3235</v>
      </c>
      <c r="J16" s="22">
        <v>4448</v>
      </c>
      <c r="K16" s="22">
        <v>2103</v>
      </c>
      <c r="L16" s="22">
        <v>2873</v>
      </c>
      <c r="M16" s="22">
        <v>3475</v>
      </c>
      <c r="N16" s="20">
        <f>IF(F16="","Enter Price",IF(F16&lt;=G16,"Deep Value / Strong Buy",IF(F16&lt;=H16,"Value / Buy",IF(F16&lt;=I16,"Fair Value / Hold",IF(F16&lt;=J16,"Fully Valued / Trim","Overvalued / Sell")))))</f>
        <v>0</v>
      </c>
      <c r="O16" s="20">
        <f>IF(OR(F16="",F16=0),"N/A",ROUND((L16-F16)/F16*100,1))</f>
        <v>0</v>
      </c>
      <c r="P16" s="23" t="s">
        <v>106</v>
      </c>
    </row>
    <row r="17" spans="1:16" ht="22" customHeight="1">
      <c r="A17" s="16">
        <v>15</v>
      </c>
      <c r="B17" s="17" t="s">
        <v>107</v>
      </c>
      <c r="C17" s="16" t="s">
        <v>108</v>
      </c>
      <c r="D17" s="16" t="s">
        <v>52</v>
      </c>
      <c r="E17" s="16" t="s">
        <v>93</v>
      </c>
      <c r="F17" s="18"/>
      <c r="G17" s="18">
        <v>2400</v>
      </c>
      <c r="H17" s="18">
        <v>3200</v>
      </c>
      <c r="I17" s="18">
        <v>4000</v>
      </c>
      <c r="J17" s="18">
        <v>4800</v>
      </c>
      <c r="K17" s="18">
        <v>3351</v>
      </c>
      <c r="L17" s="18">
        <v>5010</v>
      </c>
      <c r="M17" s="18">
        <v>6586</v>
      </c>
      <c r="N17" s="16">
        <f>IF(F17="","Enter Price",IF(F17&lt;=G17,"Deep Value / Strong Buy",IF(F17&lt;=H17,"Value / Buy",IF(F17&lt;=I17,"Fair Value / Hold",IF(F17&lt;=J17,"Fully Valued / Trim","Overvalued / Sell")))))</f>
        <v>0</v>
      </c>
      <c r="O17" s="16">
        <f>IF(OR(F17="",F17=0),"N/A",ROUND((L17-F17)/F17*100,1))</f>
        <v>0</v>
      </c>
      <c r="P17" s="19" t="s">
        <v>109</v>
      </c>
    </row>
    <row r="18" spans="1:16" ht="22" customHeight="1">
      <c r="A18" s="20">
        <v>16</v>
      </c>
      <c r="B18" s="21" t="s">
        <v>110</v>
      </c>
      <c r="C18" s="20" t="s">
        <v>111</v>
      </c>
      <c r="D18" s="20" t="s">
        <v>52</v>
      </c>
      <c r="E18" s="20" t="s">
        <v>112</v>
      </c>
      <c r="F18" s="22"/>
      <c r="G18" s="22">
        <v>350</v>
      </c>
      <c r="H18" s="22">
        <v>450</v>
      </c>
      <c r="I18" s="22">
        <v>600</v>
      </c>
      <c r="J18" s="22">
        <v>750</v>
      </c>
      <c r="K18" s="22">
        <v>458</v>
      </c>
      <c r="L18" s="22">
        <v>703</v>
      </c>
      <c r="M18" s="22">
        <v>852</v>
      </c>
      <c r="N18" s="20">
        <f>IF(F18="","Enter Price",IF(F18&lt;=G18,"Deep Value / Strong Buy",IF(F18&lt;=H18,"Value / Buy",IF(F18&lt;=I18,"Fair Value / Hold",IF(F18&lt;=J18,"Fully Valued / Trim","Overvalued / Sell")))))</f>
        <v>0</v>
      </c>
      <c r="O18" s="20">
        <f>IF(OR(F18="",F18=0),"N/A",ROUND((L18-F18)/F18*100,1))</f>
        <v>0</v>
      </c>
      <c r="P18" s="23" t="s">
        <v>113</v>
      </c>
    </row>
    <row r="19" spans="1:16" ht="22" customHeight="1">
      <c r="A19" s="16">
        <v>17</v>
      </c>
      <c r="B19" s="17" t="s">
        <v>114</v>
      </c>
      <c r="C19" s="16" t="s">
        <v>115</v>
      </c>
      <c r="D19" s="16" t="s">
        <v>52</v>
      </c>
      <c r="E19" s="16" t="s">
        <v>69</v>
      </c>
      <c r="F19" s="18"/>
      <c r="G19" s="18">
        <v>100</v>
      </c>
      <c r="H19" s="18">
        <v>150</v>
      </c>
      <c r="I19" s="18">
        <v>200</v>
      </c>
      <c r="J19" s="18">
        <v>260</v>
      </c>
      <c r="K19" s="18">
        <v>108</v>
      </c>
      <c r="L19" s="18">
        <v>117</v>
      </c>
      <c r="M19" s="18">
        <v>148</v>
      </c>
      <c r="N19" s="16">
        <f>IF(F19="","Enter Price",IF(F19&lt;=G19,"Deep Value / Strong Buy",IF(F19&lt;=H19,"Value / Buy",IF(F19&lt;=I19,"Fair Value / Hold",IF(F19&lt;=J19,"Fully Valued / Trim","Overvalued / Sell")))))</f>
        <v>0</v>
      </c>
      <c r="O19" s="16">
        <f>IF(OR(F19="",F19=0),"N/A",ROUND((L19-F19)/F19*100,1))</f>
        <v>0</v>
      </c>
      <c r="P19" s="19" t="s">
        <v>116</v>
      </c>
    </row>
    <row r="20" spans="1:16" ht="22" customHeight="1">
      <c r="A20" s="20">
        <v>18</v>
      </c>
      <c r="B20" s="21" t="s">
        <v>117</v>
      </c>
      <c r="C20" s="20" t="s">
        <v>118</v>
      </c>
      <c r="D20" s="20" t="s">
        <v>52</v>
      </c>
      <c r="E20" s="20" t="s">
        <v>119</v>
      </c>
      <c r="F20" s="22"/>
      <c r="G20" s="22">
        <v>325</v>
      </c>
      <c r="H20" s="22">
        <v>450</v>
      </c>
      <c r="I20" s="22">
        <v>650</v>
      </c>
      <c r="J20" s="22">
        <v>850</v>
      </c>
      <c r="K20" s="22">
        <v>937</v>
      </c>
      <c r="L20" s="22">
        <v>1367</v>
      </c>
      <c r="M20" s="22">
        <v>2134</v>
      </c>
      <c r="N20" s="20">
        <f>IF(F20="","Enter Price",IF(F20&lt;=G20,"Deep Value / Strong Buy",IF(F20&lt;=H20,"Value / Buy",IF(F20&lt;=I20,"Fair Value / Hold",IF(F20&lt;=J20,"Fully Valued / Trim","Overvalued / Sell")))))</f>
        <v>0</v>
      </c>
      <c r="O20" s="20">
        <f>IF(OR(F20="",F20=0),"N/A",ROUND((L20-F20)/F20*100,1))</f>
        <v>0</v>
      </c>
      <c r="P20" s="23" t="s">
        <v>120</v>
      </c>
    </row>
    <row r="21" spans="1:16" ht="22" customHeight="1">
      <c r="A21" s="16">
        <v>19</v>
      </c>
      <c r="B21" s="17" t="s">
        <v>121</v>
      </c>
      <c r="C21" s="16" t="s">
        <v>122</v>
      </c>
      <c r="D21" s="16" t="s">
        <v>52</v>
      </c>
      <c r="E21" s="16" t="s">
        <v>123</v>
      </c>
      <c r="F21" s="18"/>
      <c r="G21" s="18">
        <v>450</v>
      </c>
      <c r="H21" s="18">
        <v>650</v>
      </c>
      <c r="I21" s="18">
        <v>900</v>
      </c>
      <c r="J21" s="18">
        <v>1107</v>
      </c>
      <c r="K21" s="18">
        <v>900</v>
      </c>
      <c r="L21" s="18">
        <v>1107</v>
      </c>
      <c r="M21" s="18">
        <v>1316</v>
      </c>
      <c r="N21" s="16">
        <f>IF(F21="","Enter Price",IF(F21&lt;=G21,"Deep Value / Strong Buy",IF(F21&lt;=H21,"Value / Buy",IF(F21&lt;=I21,"Fair Value / Hold",IF(F21&lt;=J21,"Fully Valued / Trim","Overvalued / Sell")))))</f>
        <v>0</v>
      </c>
      <c r="O21" s="16">
        <f>IF(OR(F21="",F21=0),"N/A",ROUND((L21-F21)/F21*100,1))</f>
        <v>0</v>
      </c>
      <c r="P21" s="19" t="s">
        <v>124</v>
      </c>
    </row>
    <row r="22" spans="1:16" ht="22" customHeight="1">
      <c r="A22" s="20">
        <v>20</v>
      </c>
      <c r="B22" s="21" t="s">
        <v>125</v>
      </c>
      <c r="C22" s="20" t="s">
        <v>126</v>
      </c>
      <c r="D22" s="20" t="s">
        <v>52</v>
      </c>
      <c r="E22" s="20" t="s">
        <v>127</v>
      </c>
      <c r="F22" s="22"/>
      <c r="G22" s="22">
        <v>266</v>
      </c>
      <c r="H22" s="22">
        <v>380</v>
      </c>
      <c r="I22" s="22">
        <v>500</v>
      </c>
      <c r="J22" s="22">
        <v>607</v>
      </c>
      <c r="K22" s="22">
        <v>380</v>
      </c>
      <c r="L22" s="22">
        <v>500</v>
      </c>
      <c r="M22" s="22">
        <v>607</v>
      </c>
      <c r="N22" s="20">
        <f>IF(F22="","Enter Price",IF(F22&lt;=G22,"Deep Value / Strong Buy",IF(F22&lt;=H22,"Value / Buy",IF(F22&lt;=I22,"Fair Value / Hold",IF(F22&lt;=J22,"Fully Valued / Trim","Overvalued / Sell")))))</f>
        <v>0</v>
      </c>
      <c r="O22" s="20">
        <f>IF(OR(F22="",F22=0),"N/A",ROUND((L22-F22)/F22*100,1))</f>
        <v>0</v>
      </c>
      <c r="P22" s="23" t="s">
        <v>128</v>
      </c>
    </row>
    <row r="23" spans="1:16" ht="22" customHeight="1">
      <c r="A23" s="16">
        <v>21</v>
      </c>
      <c r="B23" s="17" t="s">
        <v>129</v>
      </c>
      <c r="C23" s="16" t="s">
        <v>130</v>
      </c>
      <c r="D23" s="16" t="s">
        <v>52</v>
      </c>
      <c r="E23" s="16" t="s">
        <v>69</v>
      </c>
      <c r="F23" s="18"/>
      <c r="G23" s="18">
        <v>240</v>
      </c>
      <c r="H23" s="18">
        <v>320</v>
      </c>
      <c r="I23" s="18">
        <v>400</v>
      </c>
      <c r="J23" s="18">
        <v>500</v>
      </c>
      <c r="K23" s="18">
        <v>354</v>
      </c>
      <c r="L23" s="18">
        <v>671</v>
      </c>
      <c r="M23" s="18">
        <v>943</v>
      </c>
      <c r="N23" s="16">
        <f>IF(F23="","Enter Price",IF(F23&lt;=G23,"Deep Value / Strong Buy",IF(F23&lt;=H23,"Value / Buy",IF(F23&lt;=I23,"Fair Value / Hold",IF(F23&lt;=J23,"Fully Valued / Trim","Overvalued / Sell")))))</f>
        <v>0</v>
      </c>
      <c r="O23" s="16">
        <f>IF(OR(F23="",F23=0),"N/A",ROUND((L23-F23)/F23*100,1))</f>
        <v>0</v>
      </c>
      <c r="P23" s="19" t="s">
        <v>131</v>
      </c>
    </row>
    <row r="24" spans="1:16" ht="22" customHeight="1">
      <c r="A24" s="20">
        <v>22</v>
      </c>
      <c r="B24" s="21" t="s">
        <v>132</v>
      </c>
      <c r="C24" s="20" t="s">
        <v>133</v>
      </c>
      <c r="D24" s="20" t="s">
        <v>52</v>
      </c>
      <c r="E24" s="20" t="s">
        <v>127</v>
      </c>
      <c r="F24" s="22"/>
      <c r="G24" s="22">
        <v>250</v>
      </c>
      <c r="H24" s="22">
        <v>600</v>
      </c>
      <c r="I24" s="22">
        <v>850</v>
      </c>
      <c r="J24" s="22">
        <v>1100</v>
      </c>
      <c r="K24" s="22">
        <v>444</v>
      </c>
      <c r="L24" s="22">
        <v>673</v>
      </c>
      <c r="M24" s="22">
        <v>889</v>
      </c>
      <c r="N24" s="20">
        <f>IF(F24="","Enter Price",IF(F24&lt;=G24,"Deep Value / Strong Buy",IF(F24&lt;=H24,"Value / Buy",IF(F24&lt;=I24,"Fair Value / Hold",IF(F24&lt;=J24,"Fully Valued / Trim","Overvalued / Sell")))))</f>
        <v>0</v>
      </c>
      <c r="O24" s="20">
        <f>IF(OR(F24="",F24=0),"N/A",ROUND((L24-F24)/F24*100,1))</f>
        <v>0</v>
      </c>
      <c r="P24" s="23" t="s">
        <v>134</v>
      </c>
    </row>
    <row r="25" spans="1:16" ht="22" customHeight="1">
      <c r="A25" s="16">
        <v>23</v>
      </c>
      <c r="B25" s="17" t="s">
        <v>135</v>
      </c>
      <c r="C25" s="16" t="s">
        <v>136</v>
      </c>
      <c r="D25" s="16" t="s">
        <v>52</v>
      </c>
      <c r="E25" s="16" t="s">
        <v>137</v>
      </c>
      <c r="F25" s="18"/>
      <c r="G25" s="18">
        <v>100</v>
      </c>
      <c r="H25" s="18">
        <v>130</v>
      </c>
      <c r="I25" s="18">
        <v>178</v>
      </c>
      <c r="J25" s="18">
        <v>338</v>
      </c>
      <c r="K25" s="18">
        <v>130</v>
      </c>
      <c r="L25" s="18">
        <v>260</v>
      </c>
      <c r="M25" s="18">
        <v>338</v>
      </c>
      <c r="N25" s="16">
        <f>IF(F25="","Enter Price",IF(F25&lt;=G25,"Deep Value / Strong Buy",IF(F25&lt;=H25,"Value / Buy",IF(F25&lt;=I25,"Fair Value / Hold",IF(F25&lt;=J25,"Fully Valued / Trim","Overvalued / Sell")))))</f>
        <v>0</v>
      </c>
      <c r="O25" s="16">
        <f>IF(OR(F25="",F25=0),"N/A",ROUND((L25-F25)/F25*100,1))</f>
        <v>0</v>
      </c>
      <c r="P25" s="19" t="s">
        <v>138</v>
      </c>
    </row>
    <row r="26" spans="1:16" ht="22" customHeight="1">
      <c r="A26" s="20">
        <v>24</v>
      </c>
      <c r="B26" s="21" t="s">
        <v>139</v>
      </c>
      <c r="C26" s="20" t="s">
        <v>139</v>
      </c>
      <c r="D26" s="20" t="s">
        <v>52</v>
      </c>
      <c r="E26" s="20" t="s">
        <v>140</v>
      </c>
      <c r="F26" s="22"/>
      <c r="G26" s="22">
        <v>55</v>
      </c>
      <c r="H26" s="22">
        <v>74</v>
      </c>
      <c r="I26" s="22">
        <v>103</v>
      </c>
      <c r="J26" s="22">
        <v>129</v>
      </c>
      <c r="K26" s="22">
        <v>135</v>
      </c>
      <c r="L26" s="22">
        <v>171</v>
      </c>
      <c r="M26" s="22">
        <v>218</v>
      </c>
      <c r="N26" s="20">
        <f>IF(F26="","Enter Price",IF(F26&lt;=G26,"Deep Value / Strong Buy",IF(F26&lt;=H26,"Value / Buy",IF(F26&lt;=I26,"Fair Value / Hold",IF(F26&lt;=J26,"Fully Valued / Trim","Overvalued / Sell")))))</f>
        <v>0</v>
      </c>
      <c r="O26" s="20">
        <f>IF(OR(F26="",F26=0),"N/A",ROUND((L26-F26)/F26*100,1))</f>
        <v>0</v>
      </c>
      <c r="P26" s="23" t="s">
        <v>141</v>
      </c>
    </row>
    <row r="27" spans="1:16" ht="22" customHeight="1">
      <c r="A27" s="16">
        <v>25</v>
      </c>
      <c r="B27" s="17" t="s">
        <v>142</v>
      </c>
      <c r="C27" s="16" t="s">
        <v>143</v>
      </c>
      <c r="D27" s="16" t="s">
        <v>52</v>
      </c>
      <c r="E27" s="16" t="s">
        <v>144</v>
      </c>
      <c r="F27" s="18"/>
      <c r="G27" s="18">
        <v>400</v>
      </c>
      <c r="H27" s="18">
        <v>560</v>
      </c>
      <c r="I27" s="18">
        <v>660</v>
      </c>
      <c r="J27" s="18">
        <v>853</v>
      </c>
      <c r="K27" s="18">
        <v>556</v>
      </c>
      <c r="L27" s="18">
        <v>653</v>
      </c>
      <c r="M27" s="18">
        <v>853</v>
      </c>
      <c r="N27" s="16" t="s">
        <v>74</v>
      </c>
      <c r="O27" s="16">
        <f>IF(OR(F27="",F27=0),"N/A",ROUND((L27-F27)/F27*100,1))</f>
        <v>0</v>
      </c>
      <c r="P27" s="19" t="s">
        <v>145</v>
      </c>
    </row>
    <row r="28" spans="1:16" ht="22" customHeight="1">
      <c r="A28" s="20">
        <v>26</v>
      </c>
      <c r="B28" s="21" t="s">
        <v>146</v>
      </c>
      <c r="C28" s="20" t="s">
        <v>147</v>
      </c>
      <c r="D28" s="20" t="s">
        <v>52</v>
      </c>
      <c r="E28" s="20" t="s">
        <v>123</v>
      </c>
      <c r="F28" s="22"/>
      <c r="G28" s="22">
        <v>145</v>
      </c>
      <c r="H28" s="22">
        <v>243</v>
      </c>
      <c r="I28" s="22">
        <v>340</v>
      </c>
      <c r="J28" s="22">
        <v>437</v>
      </c>
      <c r="K28" s="22">
        <v>188</v>
      </c>
      <c r="L28" s="22">
        <v>800</v>
      </c>
      <c r="M28" s="22">
        <v>968</v>
      </c>
      <c r="N28" s="20">
        <f>IF(F28="","Enter Price",IF(F28&lt;=G28,"Deep Value / Strong Buy",IF(F28&lt;=H28,"Value / Buy",IF(F28&lt;=I28,"Fair Value / Hold",IF(F28&lt;=J28,"Fully Valued / Trim","Overvalued / Sell")))))</f>
        <v>0</v>
      </c>
      <c r="O28" s="20">
        <f>IF(OR(F28="",F28=0),"N/A",ROUND((L28-F28)/F28*100,1))</f>
        <v>0</v>
      </c>
      <c r="P28" s="23" t="s">
        <v>148</v>
      </c>
    </row>
    <row r="29" spans="1:16" ht="22" customHeight="1">
      <c r="A29" s="16">
        <v>27</v>
      </c>
      <c r="B29" s="17" t="s">
        <v>149</v>
      </c>
      <c r="C29" s="16" t="s">
        <v>150</v>
      </c>
      <c r="D29" s="16" t="s">
        <v>52</v>
      </c>
      <c r="E29" s="16" t="s">
        <v>151</v>
      </c>
      <c r="F29" s="18"/>
      <c r="G29" s="18">
        <v>16</v>
      </c>
      <c r="H29" s="18">
        <v>25</v>
      </c>
      <c r="I29" s="18">
        <v>35</v>
      </c>
      <c r="J29" s="18">
        <v>49</v>
      </c>
      <c r="K29" s="18">
        <v>21</v>
      </c>
      <c r="L29" s="18">
        <v>23</v>
      </c>
      <c r="M29" s="18">
        <v>27</v>
      </c>
      <c r="N29" s="16" t="s">
        <v>74</v>
      </c>
      <c r="O29" s="16">
        <f>IF(OR(F29="",F29=0),"N/A",ROUND((L29-F29)/F29*100,1))</f>
        <v>0</v>
      </c>
      <c r="P29" s="19" t="s">
        <v>152</v>
      </c>
    </row>
    <row r="30" spans="1:16" ht="22" customHeight="1">
      <c r="A30" s="20">
        <v>28</v>
      </c>
      <c r="B30" s="21" t="s">
        <v>153</v>
      </c>
      <c r="C30" s="20" t="s">
        <v>153</v>
      </c>
      <c r="D30" s="20" t="s">
        <v>52</v>
      </c>
      <c r="E30" s="20" t="s">
        <v>154</v>
      </c>
      <c r="F30" s="22"/>
      <c r="G30" s="22">
        <v>242</v>
      </c>
      <c r="H30" s="22">
        <v>314</v>
      </c>
      <c r="I30" s="22">
        <v>386</v>
      </c>
      <c r="J30" s="22">
        <v>483</v>
      </c>
      <c r="K30" s="22">
        <v>355</v>
      </c>
      <c r="L30" s="22">
        <v>531</v>
      </c>
      <c r="M30" s="22">
        <v>700</v>
      </c>
      <c r="N30" s="20">
        <f>IF(F30="","Enter Price",IF(F30&lt;=G30,"Deep Value / Strong Buy",IF(F30&lt;=H30,"Value / Buy",IF(F30&lt;=I30,"Fair Value / Hold",IF(F30&lt;=J30,"Fully Valued / Trim","Overvalued / Sell")))))</f>
        <v>0</v>
      </c>
      <c r="O30" s="20">
        <f>IF(OR(F30="",F30=0),"N/A",ROUND((L30-F30)/F30*100,1))</f>
        <v>0</v>
      </c>
      <c r="P30" s="23" t="s">
        <v>155</v>
      </c>
    </row>
    <row r="31" spans="1:16" ht="22" customHeight="1">
      <c r="A31" s="16">
        <v>29</v>
      </c>
      <c r="B31" s="17" t="s">
        <v>156</v>
      </c>
      <c r="C31" s="16" t="s">
        <v>157</v>
      </c>
      <c r="D31" s="16" t="s">
        <v>52</v>
      </c>
      <c r="E31" s="16" t="s">
        <v>158</v>
      </c>
      <c r="F31" s="18"/>
      <c r="G31" s="18">
        <v>800</v>
      </c>
      <c r="H31" s="18">
        <v>1200</v>
      </c>
      <c r="I31" s="18">
        <v>1800</v>
      </c>
      <c r="J31" s="18">
        <v>2200</v>
      </c>
      <c r="K31" s="18">
        <v>853</v>
      </c>
      <c r="L31" s="18">
        <v>3320</v>
      </c>
      <c r="M31" s="18">
        <v>5511</v>
      </c>
      <c r="N31" s="16">
        <f>IF(F31="","Enter Price",IF(F31&lt;=G31,"Deep Value / Strong Buy",IF(F31&lt;=H31,"Value / Buy",IF(F31&lt;=I31,"Fair Value / Hold",IF(F31&lt;=J31,"Fully Valued / Trim","Overvalued / Sell")))))</f>
        <v>0</v>
      </c>
      <c r="O31" s="16">
        <f>IF(OR(F31="",F31=0),"N/A",ROUND((L31-F31)/F31*100,1))</f>
        <v>0</v>
      </c>
      <c r="P31" s="19" t="s">
        <v>159</v>
      </c>
    </row>
    <row r="32" spans="1:16" ht="22" customHeight="1">
      <c r="A32" s="20">
        <v>30</v>
      </c>
      <c r="B32" s="21" t="s">
        <v>160</v>
      </c>
      <c r="C32" s="20" t="s">
        <v>161</v>
      </c>
      <c r="D32" s="20" t="s">
        <v>52</v>
      </c>
      <c r="E32" s="20" t="s">
        <v>162</v>
      </c>
      <c r="F32" s="22"/>
      <c r="G32" s="22">
        <v>2800</v>
      </c>
      <c r="H32" s="22">
        <v>4130</v>
      </c>
      <c r="I32" s="22">
        <v>5260</v>
      </c>
      <c r="J32" s="22">
        <v>11839</v>
      </c>
      <c r="K32" s="22">
        <v>4511</v>
      </c>
      <c r="L32" s="22">
        <v>8107</v>
      </c>
      <c r="M32" s="22">
        <v>11839</v>
      </c>
      <c r="N32" s="20">
        <f>IF(F32="","Enter Price",IF(F32&lt;=G32,"Deep Value / Strong Buy",IF(F32&lt;=H32,"Value / Buy",IF(F32&lt;=I32,"Fair Value / Hold",IF(F32&lt;=J32,"Fully Valued / Trim","Overvalued / Sell")))))</f>
        <v>0</v>
      </c>
      <c r="O32" s="20">
        <f>IF(OR(F32="",F32=0),"N/A",ROUND((L32-F32)/F32*100,1))</f>
        <v>0</v>
      </c>
      <c r="P32" s="23" t="s">
        <v>163</v>
      </c>
    </row>
    <row r="33" spans="1:16" ht="22" customHeight="1">
      <c r="A33" s="16">
        <v>31</v>
      </c>
      <c r="B33" s="17" t="s">
        <v>164</v>
      </c>
      <c r="C33" s="16" t="s">
        <v>165</v>
      </c>
      <c r="D33" s="16" t="s">
        <v>52</v>
      </c>
      <c r="E33" s="16" t="s">
        <v>97</v>
      </c>
      <c r="F33" s="18"/>
      <c r="G33" s="18">
        <v>188</v>
      </c>
      <c r="H33" s="18">
        <v>250</v>
      </c>
      <c r="I33" s="18">
        <v>344</v>
      </c>
      <c r="J33" s="18">
        <v>470</v>
      </c>
      <c r="K33" s="18">
        <v>265</v>
      </c>
      <c r="L33" s="18">
        <v>694</v>
      </c>
      <c r="M33" s="18">
        <v>937</v>
      </c>
      <c r="N33" s="16">
        <f>IF(F33="","Enter Price",IF(F33&lt;=G33,"Deep Value / Strong Buy",IF(F33&lt;=H33,"Value / Buy",IF(F33&lt;=I33,"Fair Value / Hold",IF(F33&lt;=J33,"Fully Valued / Trim","Overvalued / Sell")))))</f>
        <v>0</v>
      </c>
      <c r="O33" s="16">
        <f>IF(OR(F33="",F33=0),"N/A",ROUND((L33-F33)/F33*100,1))</f>
        <v>0</v>
      </c>
      <c r="P33" s="19" t="s">
        <v>166</v>
      </c>
    </row>
    <row r="34" spans="1:16" ht="22" customHeight="1">
      <c r="A34" s="20">
        <v>32</v>
      </c>
      <c r="B34" s="21" t="s">
        <v>167</v>
      </c>
      <c r="C34" s="20" t="s">
        <v>167</v>
      </c>
      <c r="D34" s="20" t="s">
        <v>52</v>
      </c>
      <c r="E34" s="20" t="s">
        <v>65</v>
      </c>
      <c r="F34" s="22"/>
      <c r="G34" s="22">
        <v>52</v>
      </c>
      <c r="H34" s="22">
        <v>69</v>
      </c>
      <c r="I34" s="22">
        <v>86</v>
      </c>
      <c r="J34" s="22">
        <v>107</v>
      </c>
      <c r="K34" s="22">
        <v>43</v>
      </c>
      <c r="L34" s="22">
        <v>60</v>
      </c>
      <c r="M34" s="22">
        <v>91</v>
      </c>
      <c r="N34" s="20">
        <f>IF(F34="","Enter Price",IF(F34&lt;=G34,"Deep Value / Strong Buy",IF(F34&lt;=H34,"Value / Buy",IF(F34&lt;=I34,"Fair Value / Hold",IF(F34&lt;=J34,"Fully Valued / Trim","Overvalued / Sell")))))</f>
        <v>0</v>
      </c>
      <c r="O34" s="20">
        <f>IF(OR(F34="",F34=0),"N/A",ROUND((L34-F34)/F34*100,1))</f>
        <v>0</v>
      </c>
      <c r="P34" s="23" t="s">
        <v>168</v>
      </c>
    </row>
    <row r="35" spans="1:16" ht="22" customHeight="1">
      <c r="A35" s="16">
        <v>33</v>
      </c>
      <c r="B35" s="17" t="s">
        <v>169</v>
      </c>
      <c r="C35" s="16" t="s">
        <v>170</v>
      </c>
      <c r="D35" s="16" t="s">
        <v>171</v>
      </c>
      <c r="E35" s="16" t="s">
        <v>172</v>
      </c>
      <c r="F35" s="18"/>
      <c r="G35" s="18">
        <v>41</v>
      </c>
      <c r="H35" s="18">
        <v>68</v>
      </c>
      <c r="I35" s="18">
        <v>115</v>
      </c>
      <c r="J35" s="18">
        <v>170</v>
      </c>
      <c r="K35" s="18">
        <v>68</v>
      </c>
      <c r="L35" s="18">
        <v>113</v>
      </c>
      <c r="M35" s="18">
        <v>167</v>
      </c>
      <c r="N35" s="16" t="s">
        <v>74</v>
      </c>
      <c r="O35" s="16">
        <f>IF(OR(F35="",F35=0),"N/A",ROUND((L35-F35)/F35*100,1))</f>
        <v>0</v>
      </c>
      <c r="P35" s="19" t="s">
        <v>173</v>
      </c>
    </row>
  </sheetData>
  <autoFilter ref="A2:P35"/>
  <mergeCells count="1">
    <mergeCell ref="A1:P1"/>
  </mergeCells>
  <conditionalFormatting sqref="A3:P35">
    <cfRule type="expression" dxfId="0" priority="1">
      <formula>$N3="Deep Value / Strong Buy"</formula>
    </cfRule>
    <cfRule type="expression" dxfId="1" priority="2">
      <formula>$N3="Value / Buy"</formula>
    </cfRule>
    <cfRule type="expression" dxfId="2" priority="3">
      <formula>$N3="Fair Value / Hold"</formula>
    </cfRule>
    <cfRule type="expression" dxfId="3" priority="4">
      <formula>$N3="Fully Valued / Trim"</formula>
    </cfRule>
    <cfRule type="expression" dxfId="4" priority="5">
      <formula>$N3="Overvalued / Sell"</formula>
    </cfRule>
    <cfRule type="expression" dxfId="5" priority="6">
      <formula>$N3="Weak Business"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6400"/>
  </sheetPr>
  <dimension ref="A1:O3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  <col min="3" max="4" width="10.7109375" customWidth="1"/>
    <col min="5" max="5" width="18.7109375" customWidth="1"/>
    <col min="6" max="12" width="16.7109375" customWidth="1"/>
    <col min="13" max="13" width="22.7109375" customWidth="1"/>
    <col min="14" max="14" width="18.7109375" customWidth="1"/>
    <col min="15" max="15" width="55.7109375" customWidth="1"/>
  </cols>
  <sheetData>
    <row r="1" spans="1:15" ht="30" customHeight="1">
      <c r="A1" s="24" t="s">
        <v>174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>
      <c r="A2" s="25" t="s">
        <v>175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28" customHeight="1">
      <c r="A3" s="15" t="s">
        <v>35</v>
      </c>
      <c r="B3" s="15" t="s">
        <v>36</v>
      </c>
      <c r="C3" s="15" t="s">
        <v>37</v>
      </c>
      <c r="D3" s="15" t="s">
        <v>38</v>
      </c>
      <c r="E3" s="15" t="s">
        <v>39</v>
      </c>
      <c r="F3" s="15" t="s">
        <v>176</v>
      </c>
      <c r="G3" s="15" t="s">
        <v>177</v>
      </c>
      <c r="H3" s="15" t="s">
        <v>178</v>
      </c>
      <c r="I3" s="15" t="s">
        <v>179</v>
      </c>
      <c r="J3" s="15" t="s">
        <v>180</v>
      </c>
      <c r="K3" s="15" t="s">
        <v>181</v>
      </c>
      <c r="L3" s="15" t="s">
        <v>182</v>
      </c>
      <c r="M3" s="15" t="s">
        <v>47</v>
      </c>
      <c r="N3" s="15" t="s">
        <v>183</v>
      </c>
      <c r="O3" s="15" t="s">
        <v>49</v>
      </c>
    </row>
    <row r="4" spans="1:15">
      <c r="A4" cm="1">
        <f t="array" ref="A4:O37">_xlfn._xlws.FILTER('All Companies'!B3:P35,'All Companies'!N3:N35="Deep Value / Strong Buy","No companies in this zone currently - enter prices in All Companies sheet")</f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28B22"/>
  </sheetPr>
  <dimension ref="A1:O3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  <col min="3" max="4" width="10.7109375" customWidth="1"/>
    <col min="5" max="5" width="18.7109375" customWidth="1"/>
    <col min="6" max="12" width="16.7109375" customWidth="1"/>
    <col min="13" max="13" width="22.7109375" customWidth="1"/>
    <col min="14" max="14" width="18.7109375" customWidth="1"/>
    <col min="15" max="15" width="55.7109375" customWidth="1"/>
  </cols>
  <sheetData>
    <row r="1" spans="1:15" ht="30" customHeight="1">
      <c r="A1" s="26" t="s">
        <v>184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>
      <c r="A2" s="25" t="s">
        <v>185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28" customHeight="1">
      <c r="A3" s="15" t="s">
        <v>35</v>
      </c>
      <c r="B3" s="15" t="s">
        <v>36</v>
      </c>
      <c r="C3" s="15" t="s">
        <v>37</v>
      </c>
      <c r="D3" s="15" t="s">
        <v>38</v>
      </c>
      <c r="E3" s="15" t="s">
        <v>39</v>
      </c>
      <c r="F3" s="15" t="s">
        <v>176</v>
      </c>
      <c r="G3" s="15" t="s">
        <v>177</v>
      </c>
      <c r="H3" s="15" t="s">
        <v>178</v>
      </c>
      <c r="I3" s="15" t="s">
        <v>179</v>
      </c>
      <c r="J3" s="15" t="s">
        <v>180</v>
      </c>
      <c r="K3" s="15" t="s">
        <v>181</v>
      </c>
      <c r="L3" s="15" t="s">
        <v>182</v>
      </c>
      <c r="M3" s="15" t="s">
        <v>47</v>
      </c>
      <c r="N3" s="15" t="s">
        <v>183</v>
      </c>
      <c r="O3" s="15" t="s">
        <v>49</v>
      </c>
    </row>
    <row r="4" spans="1:15">
      <c r="A4" cm="1">
        <f t="array" ref="A4:O37">_xlfn._xlws.FILTER('All Companies'!B3:P35,'All Companies'!N3:N35="Value / Buy","No companies in this zone currently - enter prices in All Companies sheet")</f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DAA520"/>
  </sheetPr>
  <dimension ref="A1:O3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  <col min="3" max="4" width="10.7109375" customWidth="1"/>
    <col min="5" max="5" width="18.7109375" customWidth="1"/>
    <col min="6" max="12" width="16.7109375" customWidth="1"/>
    <col min="13" max="13" width="22.7109375" customWidth="1"/>
    <col min="14" max="14" width="18.7109375" customWidth="1"/>
    <col min="15" max="15" width="55.7109375" customWidth="1"/>
  </cols>
  <sheetData>
    <row r="1" spans="1:15" ht="30" customHeight="1">
      <c r="A1" s="27" t="s">
        <v>186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>
      <c r="A2" s="25" t="s">
        <v>187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28" customHeight="1">
      <c r="A3" s="15" t="s">
        <v>35</v>
      </c>
      <c r="B3" s="15" t="s">
        <v>36</v>
      </c>
      <c r="C3" s="15" t="s">
        <v>37</v>
      </c>
      <c r="D3" s="15" t="s">
        <v>38</v>
      </c>
      <c r="E3" s="15" t="s">
        <v>39</v>
      </c>
      <c r="F3" s="15" t="s">
        <v>176</v>
      </c>
      <c r="G3" s="15" t="s">
        <v>177</v>
      </c>
      <c r="H3" s="15" t="s">
        <v>178</v>
      </c>
      <c r="I3" s="15" t="s">
        <v>179</v>
      </c>
      <c r="J3" s="15" t="s">
        <v>180</v>
      </c>
      <c r="K3" s="15" t="s">
        <v>181</v>
      </c>
      <c r="L3" s="15" t="s">
        <v>182</v>
      </c>
      <c r="M3" s="15" t="s">
        <v>47</v>
      </c>
      <c r="N3" s="15" t="s">
        <v>183</v>
      </c>
      <c r="O3" s="15" t="s">
        <v>49</v>
      </c>
    </row>
    <row r="4" spans="1:15">
      <c r="A4" cm="1">
        <f t="array" ref="A4:O37">_xlfn._xlws.FILTER('All Companies'!B3:P35,'All Companies'!N3:N35="Fair Value / Hold","No companies in this zone currently - enter prices in All Companies sheet")</f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8C00"/>
  </sheetPr>
  <dimension ref="A1:O3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  <col min="3" max="4" width="10.7109375" customWidth="1"/>
    <col min="5" max="5" width="18.7109375" customWidth="1"/>
    <col min="6" max="12" width="16.7109375" customWidth="1"/>
    <col min="13" max="13" width="22.7109375" customWidth="1"/>
    <col min="14" max="14" width="18.7109375" customWidth="1"/>
    <col min="15" max="15" width="55.7109375" customWidth="1"/>
  </cols>
  <sheetData>
    <row r="1" spans="1:15" ht="30" customHeight="1">
      <c r="A1" s="28" t="s">
        <v>188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>
      <c r="A2" s="25" t="s">
        <v>189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28" customHeight="1">
      <c r="A3" s="15" t="s">
        <v>35</v>
      </c>
      <c r="B3" s="15" t="s">
        <v>36</v>
      </c>
      <c r="C3" s="15" t="s">
        <v>37</v>
      </c>
      <c r="D3" s="15" t="s">
        <v>38</v>
      </c>
      <c r="E3" s="15" t="s">
        <v>39</v>
      </c>
      <c r="F3" s="15" t="s">
        <v>176</v>
      </c>
      <c r="G3" s="15" t="s">
        <v>177</v>
      </c>
      <c r="H3" s="15" t="s">
        <v>178</v>
      </c>
      <c r="I3" s="15" t="s">
        <v>179</v>
      </c>
      <c r="J3" s="15" t="s">
        <v>180</v>
      </c>
      <c r="K3" s="15" t="s">
        <v>181</v>
      </c>
      <c r="L3" s="15" t="s">
        <v>182</v>
      </c>
      <c r="M3" s="15" t="s">
        <v>47</v>
      </c>
      <c r="N3" s="15" t="s">
        <v>183</v>
      </c>
      <c r="O3" s="15" t="s">
        <v>49</v>
      </c>
    </row>
    <row r="4" spans="1:15">
      <c r="A4" cm="1">
        <f t="array" ref="A4:O37">_xlfn._xlws.FILTER('All Companies'!B3:P35,'All Companies'!N3:N35="Fully Valued / Trim","No companies in this zone currently - enter prices in All Companies sheet")</f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C143C"/>
  </sheetPr>
  <dimension ref="A1:O3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  <col min="3" max="4" width="10.7109375" customWidth="1"/>
    <col min="5" max="5" width="18.7109375" customWidth="1"/>
    <col min="6" max="12" width="16.7109375" customWidth="1"/>
    <col min="13" max="13" width="22.7109375" customWidth="1"/>
    <col min="14" max="14" width="18.7109375" customWidth="1"/>
    <col min="15" max="15" width="55.7109375" customWidth="1"/>
  </cols>
  <sheetData>
    <row r="1" spans="1:15" ht="30" customHeight="1">
      <c r="A1" s="29" t="s">
        <v>190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>
      <c r="A2" s="25" t="s">
        <v>191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28" customHeight="1">
      <c r="A3" s="15" t="s">
        <v>35</v>
      </c>
      <c r="B3" s="15" t="s">
        <v>36</v>
      </c>
      <c r="C3" s="15" t="s">
        <v>37</v>
      </c>
      <c r="D3" s="15" t="s">
        <v>38</v>
      </c>
      <c r="E3" s="15" t="s">
        <v>39</v>
      </c>
      <c r="F3" s="15" t="s">
        <v>176</v>
      </c>
      <c r="G3" s="15" t="s">
        <v>177</v>
      </c>
      <c r="H3" s="15" t="s">
        <v>178</v>
      </c>
      <c r="I3" s="15" t="s">
        <v>179</v>
      </c>
      <c r="J3" s="15" t="s">
        <v>180</v>
      </c>
      <c r="K3" s="15" t="s">
        <v>181</v>
      </c>
      <c r="L3" s="15" t="s">
        <v>182</v>
      </c>
      <c r="M3" s="15" t="s">
        <v>47</v>
      </c>
      <c r="N3" s="15" t="s">
        <v>183</v>
      </c>
      <c r="O3" s="15" t="s">
        <v>49</v>
      </c>
    </row>
    <row r="4" spans="1:15">
      <c r="A4" cm="1">
        <f t="array" ref="A4:O37">_xlfn._xlws.FILTER('All Companies'!B3:P35,'All Companies'!N3:N35="Overvalued / Sell","No companies in this zone currently - enter prices in All Companies sheet")</f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A1A1A"/>
  </sheetPr>
  <dimension ref="A1:O3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  <col min="3" max="4" width="10.7109375" customWidth="1"/>
    <col min="5" max="5" width="18.7109375" customWidth="1"/>
    <col min="6" max="12" width="16.7109375" customWidth="1"/>
    <col min="13" max="13" width="22.7109375" customWidth="1"/>
    <col min="14" max="14" width="18.7109375" customWidth="1"/>
    <col min="15" max="15" width="55.7109375" customWidth="1"/>
  </cols>
  <sheetData>
    <row r="1" spans="1:15" ht="30" customHeight="1">
      <c r="A1" s="30" t="s">
        <v>192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>
      <c r="A2" s="25" t="s">
        <v>193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28" customHeight="1">
      <c r="A3" s="15" t="s">
        <v>35</v>
      </c>
      <c r="B3" s="15" t="s">
        <v>36</v>
      </c>
      <c r="C3" s="15" t="s">
        <v>37</v>
      </c>
      <c r="D3" s="15" t="s">
        <v>38</v>
      </c>
      <c r="E3" s="15" t="s">
        <v>39</v>
      </c>
      <c r="F3" s="15" t="s">
        <v>176</v>
      </c>
      <c r="G3" s="15" t="s">
        <v>177</v>
      </c>
      <c r="H3" s="15" t="s">
        <v>178</v>
      </c>
      <c r="I3" s="15" t="s">
        <v>179</v>
      </c>
      <c r="J3" s="15" t="s">
        <v>180</v>
      </c>
      <c r="K3" s="15" t="s">
        <v>181</v>
      </c>
      <c r="L3" s="15" t="s">
        <v>182</v>
      </c>
      <c r="M3" s="15" t="s">
        <v>47</v>
      </c>
      <c r="N3" s="15" t="s">
        <v>183</v>
      </c>
      <c r="O3" s="15" t="s">
        <v>49</v>
      </c>
    </row>
    <row r="4" spans="1:15">
      <c r="A4" cm="1">
        <f t="array" ref="A4:O37">_xlfn._xlws.FILTER('All Companies'!B3:P35,'All Companies'!N3:N35="Weak Business","No companies in this zone currently - enter prices in All Companies sheet")</f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9B59B6"/>
  </sheetPr>
  <dimension ref="B1:D25"/>
  <sheetViews>
    <sheetView showGridLines="0" workbookViewId="0"/>
  </sheetViews>
  <sheetFormatPr defaultRowHeight="15"/>
  <cols>
    <col min="1" max="1" width="5.7109375" customWidth="1"/>
    <col min="2" max="2" width="30.7109375" customWidth="1"/>
    <col min="3" max="3" width="18.7109375" customWidth="1"/>
    <col min="4" max="4" width="40.7109375" customWidth="1"/>
  </cols>
  <sheetData>
    <row r="1" spans="2:4">
      <c r="B1" s="31" t="s">
        <v>194</v>
      </c>
      <c r="C1" s="31"/>
      <c r="D1" s="31"/>
    </row>
    <row r="3" spans="2:4">
      <c r="B3" s="15" t="s">
        <v>195</v>
      </c>
      <c r="C3" s="15" t="s">
        <v>196</v>
      </c>
      <c r="D3" s="15" t="s">
        <v>197</v>
      </c>
    </row>
    <row r="4" spans="2:4">
      <c r="B4" s="4" t="s">
        <v>3</v>
      </c>
      <c r="C4" s="32">
        <f>COUNTIF('All Companies'!N3:N35,"Deep Value / Strong Buy")</f>
        <v>0</v>
      </c>
      <c r="D4" s="5" t="s">
        <v>198</v>
      </c>
    </row>
    <row r="5" spans="2:4">
      <c r="B5" s="6" t="s">
        <v>5</v>
      </c>
      <c r="C5" s="32">
        <f>COUNTIF('All Companies'!N3:N35,"Value / Buy")</f>
        <v>0</v>
      </c>
      <c r="D5" s="5" t="s">
        <v>199</v>
      </c>
    </row>
    <row r="6" spans="2:4">
      <c r="B6" s="7" t="s">
        <v>7</v>
      </c>
      <c r="C6" s="32">
        <f>COUNTIF('All Companies'!N3:N35,"Fair Value / Hold")</f>
        <v>0</v>
      </c>
      <c r="D6" s="5" t="s">
        <v>200</v>
      </c>
    </row>
    <row r="7" spans="2:4">
      <c r="B7" s="8" t="s">
        <v>9</v>
      </c>
      <c r="C7" s="32">
        <f>COUNTIF('All Companies'!N3:N35,"Fully Valued / Trim")</f>
        <v>0</v>
      </c>
      <c r="D7" s="5" t="s">
        <v>201</v>
      </c>
    </row>
    <row r="8" spans="2:4">
      <c r="B8" s="9" t="s">
        <v>11</v>
      </c>
      <c r="C8" s="32">
        <f>COUNTIF('All Companies'!N3:N35,"Overvalued / Sell")</f>
        <v>0</v>
      </c>
      <c r="D8" s="5" t="s">
        <v>202</v>
      </c>
    </row>
    <row r="9" spans="2:4">
      <c r="B9" s="10" t="s">
        <v>74</v>
      </c>
      <c r="C9" s="32">
        <f>COUNTIF('All Companies'!N3:N35,"Weak Business")</f>
        <v>0</v>
      </c>
      <c r="D9" s="5" t="s">
        <v>203</v>
      </c>
    </row>
    <row r="10" spans="2:4">
      <c r="B10" s="33" t="s">
        <v>204</v>
      </c>
      <c r="C10" s="32">
        <f>COUNTIF('All Companies'!N3:N35,"Enter Price")</f>
        <v>0</v>
      </c>
      <c r="D10" s="5" t="s">
        <v>205</v>
      </c>
    </row>
    <row r="11" spans="2:4">
      <c r="B11" s="11" t="s">
        <v>206</v>
      </c>
      <c r="C11" s="32">
        <f>SUM(C4:C10)</f>
        <v>0</v>
      </c>
    </row>
    <row r="13" spans="2:4">
      <c r="B13" s="3" t="s">
        <v>207</v>
      </c>
      <c r="C13" s="3"/>
      <c r="D13" s="3"/>
    </row>
    <row r="14" spans="2:4">
      <c r="B14" s="15" t="s">
        <v>208</v>
      </c>
      <c r="C14" s="15" t="s">
        <v>38</v>
      </c>
      <c r="D14" s="15" t="s">
        <v>209</v>
      </c>
    </row>
    <row r="15" spans="2:4">
      <c r="B15" s="34" t="s">
        <v>103</v>
      </c>
      <c r="C15" s="35" t="s">
        <v>105</v>
      </c>
      <c r="D15" s="5" t="s">
        <v>210</v>
      </c>
    </row>
    <row r="16" spans="2:4">
      <c r="B16" s="34" t="s">
        <v>87</v>
      </c>
      <c r="C16" s="35" t="s">
        <v>89</v>
      </c>
      <c r="D16" s="5" t="s">
        <v>90</v>
      </c>
    </row>
    <row r="17" spans="2:4">
      <c r="B17" s="34" t="s">
        <v>80</v>
      </c>
      <c r="C17" s="35" t="s">
        <v>82</v>
      </c>
      <c r="D17" s="5" t="s">
        <v>83</v>
      </c>
    </row>
    <row r="18" spans="2:4">
      <c r="B18" s="34" t="s">
        <v>50</v>
      </c>
      <c r="C18" s="35" t="s">
        <v>53</v>
      </c>
      <c r="D18" s="5" t="s">
        <v>54</v>
      </c>
    </row>
    <row r="19" spans="2:4">
      <c r="B19" s="34" t="s">
        <v>84</v>
      </c>
      <c r="C19" s="35" t="s">
        <v>53</v>
      </c>
      <c r="D19" s="5" t="s">
        <v>86</v>
      </c>
    </row>
    <row r="20" spans="2:4">
      <c r="B20" s="34" t="s">
        <v>107</v>
      </c>
      <c r="C20" s="35" t="s">
        <v>93</v>
      </c>
      <c r="D20" s="5" t="s">
        <v>109</v>
      </c>
    </row>
    <row r="21" spans="2:4">
      <c r="B21" s="34" t="s">
        <v>91</v>
      </c>
      <c r="C21" s="35" t="s">
        <v>93</v>
      </c>
      <c r="D21" s="5" t="s">
        <v>94</v>
      </c>
    </row>
    <row r="22" spans="2:4">
      <c r="B22" s="34" t="s">
        <v>164</v>
      </c>
      <c r="C22" s="35" t="s">
        <v>97</v>
      </c>
      <c r="D22" s="5" t="s">
        <v>166</v>
      </c>
    </row>
    <row r="23" spans="2:4">
      <c r="B23" s="34" t="s">
        <v>95</v>
      </c>
      <c r="C23" s="35" t="s">
        <v>97</v>
      </c>
      <c r="D23" s="5" t="s">
        <v>98</v>
      </c>
    </row>
    <row r="24" spans="2:4">
      <c r="B24" s="34" t="s">
        <v>76</v>
      </c>
      <c r="C24" s="35" t="s">
        <v>78</v>
      </c>
      <c r="D24" s="5" t="s">
        <v>79</v>
      </c>
    </row>
    <row r="25" spans="2:4">
      <c r="B25" s="34" t="s">
        <v>135</v>
      </c>
      <c r="C25" s="35" t="s">
        <v>137</v>
      </c>
      <c r="D25" s="5" t="s">
        <v>211</v>
      </c>
    </row>
  </sheetData>
  <mergeCells count="2">
    <mergeCell ref="B1:D1"/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Legend &amp; Instructions</vt:lpstr>
      <vt:lpstr>All Companies</vt:lpstr>
      <vt:lpstr>Deep Value - Strong Buy</vt:lpstr>
      <vt:lpstr>Value - Buy</vt:lpstr>
      <vt:lpstr>Fair Value - Hold</vt:lpstr>
      <vt:lpstr>Fully Valued - Trim</vt:lpstr>
      <vt:lpstr>Overvalued - Sell</vt:lpstr>
      <vt:lpstr>Weak Business</vt:lpstr>
      <vt:lpstr>Summary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2026-06-04T12:58:03Z</dcterms:created>
  <dcterms:modified xsi:type="dcterms:W3CDTF">2026-06-04T12:58:03Z</dcterms:modified>
</cp:coreProperties>
</file>