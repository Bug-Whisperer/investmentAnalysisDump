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19"/>
  <workbookPr defaultThemeVersion="124226"/>
  <mc:AlternateContent xmlns:mc="http://schemas.openxmlformats.org/markup-compatibility/2006">
    <mc:Choice Requires="x15">
      <x15ac:absPath xmlns:x15ac="http://schemas.microsoft.com/office/spreadsheetml/2010/11/ac" url="/Users/nabung/Documents/investmentAnalysisDump/"/>
    </mc:Choice>
  </mc:AlternateContent>
  <xr:revisionPtr revIDLastSave="0" documentId="13_ncr:1_{D82ED424-9DF6-C543-9BD7-2E57F976989C}" xr6:coauthVersionLast="47" xr6:coauthVersionMax="47" xr10:uidLastSave="{00000000-0000-0000-0000-000000000000}"/>
  <bookViews>
    <workbookView xWindow="0" yWindow="660" windowWidth="30240" windowHeight="18980" activeTab="1" xr2:uid="{00000000-000D-0000-FFFF-FFFF00000000}"/>
  </bookViews>
  <sheets>
    <sheet name="Legend &amp; Instructions" sheetId="1" r:id="rId1"/>
    <sheet name="All Companies" sheetId="2" r:id="rId2"/>
    <sheet name="Deep Value - Strong Buy" sheetId="3" r:id="rId3"/>
    <sheet name="Value - Buy" sheetId="4" r:id="rId4"/>
    <sheet name="Fair Value - Hold" sheetId="5" r:id="rId5"/>
    <sheet name="Fully Valued - Trim" sheetId="6" r:id="rId6"/>
    <sheet name="Overvalued - Sell" sheetId="7" r:id="rId7"/>
    <sheet name="Weak Business" sheetId="8" r:id="rId8"/>
    <sheet name="Summary Stats" sheetId="9" r:id="rId9"/>
  </sheets>
  <definedNames>
    <definedName name="_xlnm._FilterDatabase" localSheetId="1" hidden="1">'All Companies'!$A$2:$P$114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2" l="1" a="1"/>
  <c r="F4" i="2" s="1"/>
  <c r="F5" i="2" a="1"/>
  <c r="F5" i="2"/>
  <c r="F6" i="2" a="1"/>
  <c r="F6" i="2" s="1"/>
  <c r="F7" i="2" a="1"/>
  <c r="F7" i="2" s="1"/>
  <c r="F8" i="2" a="1"/>
  <c r="F8" i="2" s="1"/>
  <c r="F9" i="2" a="1"/>
  <c r="F9" i="2"/>
  <c r="F10" i="2" a="1"/>
  <c r="F10" i="2" s="1"/>
  <c r="F11" i="2" a="1"/>
  <c r="F11" i="2"/>
  <c r="F12" i="2" a="1"/>
  <c r="F12" i="2" s="1"/>
  <c r="F13" i="2" a="1"/>
  <c r="F13" i="2" s="1"/>
  <c r="F14" i="2" a="1"/>
  <c r="F14" i="2" s="1"/>
  <c r="F15" i="2" a="1"/>
  <c r="F15" i="2"/>
  <c r="F16" i="2" a="1"/>
  <c r="F16" i="2" s="1"/>
  <c r="F17" i="2" a="1"/>
  <c r="F17" i="2"/>
  <c r="F18" i="2" a="1"/>
  <c r="F18" i="2" s="1"/>
  <c r="F19" i="2" a="1"/>
  <c r="F19" i="2" s="1"/>
  <c r="F20" i="2" a="1"/>
  <c r="F20" i="2" s="1"/>
  <c r="F21" i="2" a="1"/>
  <c r="F21" i="2"/>
  <c r="F22" i="2" a="1"/>
  <c r="F22" i="2" s="1"/>
  <c r="F23" i="2" a="1"/>
  <c r="F23" i="2"/>
  <c r="F24" i="2" a="1"/>
  <c r="F24" i="2" s="1"/>
  <c r="F25" i="2" a="1"/>
  <c r="F25" i="2" s="1"/>
  <c r="O25" i="2" s="1"/>
  <c r="F26" i="2" a="1"/>
  <c r="F26" i="2" s="1"/>
  <c r="F27" i="2" a="1"/>
  <c r="F27" i="2" s="1"/>
  <c r="F28" i="2" a="1"/>
  <c r="F28" i="2" s="1"/>
  <c r="F29" i="2" a="1"/>
  <c r="F29" i="2"/>
  <c r="F30" i="2" a="1"/>
  <c r="F30" i="2" s="1"/>
  <c r="F31" i="2" a="1"/>
  <c r="F31" i="2" s="1"/>
  <c r="F32" i="2" a="1"/>
  <c r="F32" i="2" s="1"/>
  <c r="F33" i="2" a="1"/>
  <c r="F33" i="2" s="1"/>
  <c r="F34" i="2" a="1"/>
  <c r="F34" i="2" s="1"/>
  <c r="F35" i="2" a="1"/>
  <c r="F35" i="2"/>
  <c r="F36" i="2" a="1"/>
  <c r="F36" i="2" s="1"/>
  <c r="F37" i="2" a="1"/>
  <c r="F37" i="2" s="1"/>
  <c r="F38" i="2" a="1"/>
  <c r="F38" i="2" s="1"/>
  <c r="F39" i="2" a="1"/>
  <c r="F39" i="2" s="1"/>
  <c r="F40" i="2" a="1"/>
  <c r="F40" i="2" s="1"/>
  <c r="F41" i="2" a="1"/>
  <c r="F41" i="2"/>
  <c r="F42" i="2" a="1"/>
  <c r="F42" i="2" s="1"/>
  <c r="F43" i="2" a="1"/>
  <c r="F43" i="2" s="1"/>
  <c r="F44" i="2" a="1"/>
  <c r="F44" i="2" s="1"/>
  <c r="F45" i="2" a="1"/>
  <c r="F45" i="2" s="1"/>
  <c r="F46" i="2" a="1"/>
  <c r="F46" i="2" s="1"/>
  <c r="F47" i="2" a="1"/>
  <c r="F47" i="2"/>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c r="F60" i="2" a="1"/>
  <c r="F60" i="2" s="1"/>
  <c r="F61" i="2" a="1"/>
  <c r="F61" i="2" s="1"/>
  <c r="F62" i="2" a="1"/>
  <c r="F62" i="2" s="1"/>
  <c r="F63" i="2" a="1"/>
  <c r="F63" i="2" s="1"/>
  <c r="O63" i="2" s="1"/>
  <c r="F64" i="2" a="1"/>
  <c r="F64" i="2" s="1"/>
  <c r="F65" i="2" a="1"/>
  <c r="F65" i="2"/>
  <c r="F66" i="2" a="1"/>
  <c r="F66" i="2" s="1"/>
  <c r="F67" i="2" a="1"/>
  <c r="F67" i="2" s="1"/>
  <c r="F68" i="2" a="1"/>
  <c r="F68" i="2" s="1"/>
  <c r="F69" i="2" a="1"/>
  <c r="F69" i="2" s="1"/>
  <c r="F70" i="2" a="1"/>
  <c r="F70" i="2" s="1"/>
  <c r="F71" i="2" a="1"/>
  <c r="F71" i="2"/>
  <c r="O71" i="2" s="1"/>
  <c r="F72" i="2" a="1"/>
  <c r="F72" i="2" s="1"/>
  <c r="F73" i="2" a="1"/>
  <c r="F73" i="2" s="1"/>
  <c r="O73" i="2" s="1"/>
  <c r="F74" i="2" a="1"/>
  <c r="F74" i="2" s="1"/>
  <c r="F75" i="2" a="1"/>
  <c r="F75" i="2" s="1"/>
  <c r="F76" i="2" a="1"/>
  <c r="F76" i="2" s="1"/>
  <c r="F77" i="2" a="1"/>
  <c r="F77" i="2"/>
  <c r="F78" i="2" a="1"/>
  <c r="F78" i="2" s="1"/>
  <c r="F79" i="2" a="1"/>
  <c r="F79" i="2" s="1"/>
  <c r="F80" i="2" a="1"/>
  <c r="F80" i="2" s="1"/>
  <c r="F81" i="2" a="1"/>
  <c r="F81" i="2" s="1"/>
  <c r="F82" i="2" a="1"/>
  <c r="F82" i="2" s="1"/>
  <c r="F83" i="2" a="1"/>
  <c r="F83" i="2"/>
  <c r="F84" i="2" a="1"/>
  <c r="F84" i="2" s="1"/>
  <c r="F85" i="2" a="1"/>
  <c r="F85" i="2" s="1"/>
  <c r="F86" i="2" a="1"/>
  <c r="F86" i="2" s="1"/>
  <c r="F87" i="2" a="1"/>
  <c r="F87" i="2" s="1"/>
  <c r="F88" i="2" a="1"/>
  <c r="F88" i="2" s="1"/>
  <c r="F89" i="2" a="1"/>
  <c r="F89" i="2" s="1"/>
  <c r="F90" i="2" a="1"/>
  <c r="F90" i="2" s="1"/>
  <c r="F91" i="2" a="1"/>
  <c r="F91" i="2" s="1"/>
  <c r="F92" i="2" a="1"/>
  <c r="F92" i="2" s="1"/>
  <c r="F93" i="2" a="1"/>
  <c r="F93" i="2" s="1"/>
  <c r="F94" i="2" a="1"/>
  <c r="F94" i="2" s="1"/>
  <c r="O94" i="2" s="1"/>
  <c r="F95" i="2" a="1"/>
  <c r="F95" i="2" s="1"/>
  <c r="F96" i="2" a="1"/>
  <c r="F96" i="2" s="1"/>
  <c r="F97" i="2" a="1"/>
  <c r="F97" i="2" s="1"/>
  <c r="F98" i="2" a="1"/>
  <c r="F98" i="2" s="1"/>
  <c r="F99" i="2" a="1"/>
  <c r="F99" i="2" s="1"/>
  <c r="F100" i="2" a="1"/>
  <c r="F100" i="2" s="1"/>
  <c r="F101" i="2" a="1"/>
  <c r="F101" i="2" s="1"/>
  <c r="F102" i="2" a="1"/>
  <c r="F102" i="2" s="1"/>
  <c r="F103" i="2" a="1"/>
  <c r="F103" i="2" s="1"/>
  <c r="F104" i="2" a="1"/>
  <c r="F104" i="2" s="1"/>
  <c r="F105" i="2" a="1"/>
  <c r="F105" i="2" s="1"/>
  <c r="F106" i="2" a="1"/>
  <c r="F106" i="2" s="1"/>
  <c r="F107" i="2" a="1"/>
  <c r="F107" i="2" s="1"/>
  <c r="F108" i="2" a="1"/>
  <c r="F108" i="2" s="1"/>
  <c r="F109" i="2" a="1"/>
  <c r="F109" i="2" s="1"/>
  <c r="O109" i="2" s="1"/>
  <c r="F110" i="2" a="1"/>
  <c r="F110" i="2" s="1"/>
  <c r="F111" i="2" a="1"/>
  <c r="F111" i="2" s="1"/>
  <c r="F112" i="2" a="1"/>
  <c r="F112" i="2" s="1"/>
  <c r="F113" i="2" a="1"/>
  <c r="F113" i="2" s="1"/>
  <c r="O113" i="2" s="1"/>
  <c r="F114" i="2" a="1"/>
  <c r="F114" i="2" s="1"/>
  <c r="F3" i="2" a="1"/>
  <c r="F3" i="2" s="1"/>
  <c r="N111" i="2" l="1"/>
  <c r="O111" i="2"/>
  <c r="N99" i="2"/>
  <c r="O99" i="2"/>
  <c r="O87" i="2"/>
  <c r="N87" i="2"/>
  <c r="O75" i="2"/>
  <c r="N75" i="2"/>
  <c r="N97" i="2"/>
  <c r="O97" i="2"/>
  <c r="O85" i="2"/>
  <c r="N85" i="2"/>
  <c r="N61" i="2"/>
  <c r="O61" i="2"/>
  <c r="N49" i="2"/>
  <c r="O49" i="2"/>
  <c r="N37" i="2"/>
  <c r="O37" i="2"/>
  <c r="O70" i="2"/>
  <c r="N70" i="2"/>
  <c r="O58" i="2"/>
  <c r="N58" i="2"/>
  <c r="O34" i="2"/>
  <c r="N34" i="2"/>
  <c r="O10" i="2"/>
  <c r="N10" i="2"/>
  <c r="O93" i="2"/>
  <c r="N93" i="2"/>
  <c r="O69" i="2"/>
  <c r="N69" i="2"/>
  <c r="O45" i="2"/>
  <c r="N45" i="2"/>
  <c r="O21" i="2"/>
  <c r="N21" i="2"/>
  <c r="O104" i="2"/>
  <c r="N104" i="2"/>
  <c r="N56" i="2"/>
  <c r="O56" i="2"/>
  <c r="O78" i="2"/>
  <c r="N78" i="2"/>
  <c r="N18" i="2"/>
  <c r="O18" i="2"/>
  <c r="O51" i="2"/>
  <c r="N51" i="2"/>
  <c r="O39" i="2"/>
  <c r="N39" i="2"/>
  <c r="O27" i="2"/>
  <c r="N27" i="2"/>
  <c r="O15" i="2"/>
  <c r="N15" i="2"/>
  <c r="O110" i="2"/>
  <c r="N110" i="2"/>
  <c r="O98" i="2"/>
  <c r="N98" i="2"/>
  <c r="N86" i="2"/>
  <c r="O86" i="2"/>
  <c r="N74" i="2"/>
  <c r="O74" i="2"/>
  <c r="N62" i="2"/>
  <c r="O62" i="2"/>
  <c r="N50" i="2"/>
  <c r="O50" i="2"/>
  <c r="N38" i="2"/>
  <c r="O38" i="2"/>
  <c r="N26" i="2"/>
  <c r="O26" i="2"/>
  <c r="O14" i="2"/>
  <c r="N14" i="2"/>
  <c r="O13" i="2"/>
  <c r="N13" i="2"/>
  <c r="O108" i="2"/>
  <c r="N108" i="2"/>
  <c r="O96" i="2"/>
  <c r="N96" i="2"/>
  <c r="O84" i="2"/>
  <c r="N84" i="2"/>
  <c r="N72" i="2"/>
  <c r="O72" i="2"/>
  <c r="O60" i="2"/>
  <c r="N60" i="2"/>
  <c r="O48" i="2"/>
  <c r="N48" i="2"/>
  <c r="O36" i="2"/>
  <c r="N36" i="2"/>
  <c r="N24" i="2"/>
  <c r="O24" i="2"/>
  <c r="N12" i="2"/>
  <c r="O12" i="2"/>
  <c r="O107" i="2"/>
  <c r="N107" i="2"/>
  <c r="O95" i="2"/>
  <c r="N95" i="2"/>
  <c r="O83" i="2"/>
  <c r="N83" i="2"/>
  <c r="O101" i="2"/>
  <c r="N101" i="2"/>
  <c r="O89" i="2"/>
  <c r="N89" i="2"/>
  <c r="O77" i="2"/>
  <c r="N77" i="2"/>
  <c r="O65" i="2"/>
  <c r="N65" i="2"/>
  <c r="N53" i="2"/>
  <c r="O53" i="2"/>
  <c r="N41" i="2"/>
  <c r="O41" i="2"/>
  <c r="N29" i="2"/>
  <c r="O29" i="2"/>
  <c r="O17" i="2"/>
  <c r="N17" i="2"/>
  <c r="O5" i="2"/>
  <c r="N5" i="2"/>
  <c r="N59" i="2"/>
  <c r="O59" i="2"/>
  <c r="N47" i="2"/>
  <c r="O47" i="2"/>
  <c r="N35" i="2"/>
  <c r="O35" i="2"/>
  <c r="O23" i="2"/>
  <c r="N23" i="2"/>
  <c r="C5" i="9" s="1"/>
  <c r="O11" i="2"/>
  <c r="N11" i="2"/>
  <c r="N106" i="2"/>
  <c r="O106" i="2"/>
  <c r="O82" i="2"/>
  <c r="N82" i="2"/>
  <c r="O46" i="2"/>
  <c r="N46" i="2"/>
  <c r="O22" i="2"/>
  <c r="N22" i="2"/>
  <c r="N105" i="2"/>
  <c r="O105" i="2"/>
  <c r="O81" i="2"/>
  <c r="N81" i="2"/>
  <c r="O57" i="2"/>
  <c r="N57" i="2"/>
  <c r="O33" i="2"/>
  <c r="N33" i="2"/>
  <c r="O9" i="2"/>
  <c r="N9" i="2"/>
  <c r="N92" i="2"/>
  <c r="O92" i="2"/>
  <c r="N80" i="2"/>
  <c r="O80" i="2"/>
  <c r="O68" i="2"/>
  <c r="N68" i="2"/>
  <c r="N44" i="2"/>
  <c r="O44" i="2"/>
  <c r="N32" i="2"/>
  <c r="O32" i="2"/>
  <c r="O20" i="2"/>
  <c r="N20" i="2"/>
  <c r="O8" i="2"/>
  <c r="N8" i="2"/>
  <c r="A4" i="6" s="1" a="1"/>
  <c r="A4" i="6" s="1"/>
  <c r="N103" i="2"/>
  <c r="O103" i="2"/>
  <c r="O91" i="2"/>
  <c r="N91" i="2"/>
  <c r="O79" i="2"/>
  <c r="N79" i="2"/>
  <c r="N67" i="2"/>
  <c r="O67" i="2"/>
  <c r="N55" i="2"/>
  <c r="O55" i="2"/>
  <c r="N43" i="2"/>
  <c r="O43" i="2"/>
  <c r="N31" i="2"/>
  <c r="O31" i="2"/>
  <c r="O19" i="2"/>
  <c r="N19" i="2"/>
  <c r="O7" i="2"/>
  <c r="N7" i="2"/>
  <c r="O114" i="2"/>
  <c r="N114" i="2"/>
  <c r="O102" i="2"/>
  <c r="N102" i="2"/>
  <c r="O90" i="2"/>
  <c r="N90" i="2"/>
  <c r="O66" i="2"/>
  <c r="N66" i="2"/>
  <c r="O54" i="2"/>
  <c r="N54" i="2"/>
  <c r="O42" i="2"/>
  <c r="N42" i="2"/>
  <c r="O30" i="2"/>
  <c r="N30" i="2"/>
  <c r="N6" i="2"/>
  <c r="O6" i="2"/>
  <c r="O112" i="2"/>
  <c r="N112" i="2"/>
  <c r="N100" i="2"/>
  <c r="O100" i="2"/>
  <c r="O88" i="2"/>
  <c r="N88" i="2"/>
  <c r="O76" i="2"/>
  <c r="N76" i="2"/>
  <c r="O64" i="2"/>
  <c r="N64" i="2"/>
  <c r="O52" i="2"/>
  <c r="N52" i="2"/>
  <c r="O40" i="2"/>
  <c r="N40" i="2"/>
  <c r="O28" i="2"/>
  <c r="N28" i="2"/>
  <c r="O16" i="2"/>
  <c r="N16" i="2"/>
  <c r="O4" i="2"/>
  <c r="N4" i="2"/>
  <c r="A4" i="7" s="1" a="1"/>
  <c r="A4" i="7" s="1"/>
  <c r="O3" i="2"/>
  <c r="N3" i="2"/>
  <c r="C8" i="9"/>
  <c r="A4" i="3" l="1" a="1"/>
  <c r="A4" i="3" s="1"/>
  <c r="C4" i="9"/>
  <c r="A4" i="5" a="1"/>
  <c r="A4" i="5" s="1"/>
  <c r="C9" i="9"/>
  <c r="A4" i="8" a="1"/>
  <c r="A4" i="8" s="1"/>
  <c r="A4" i="4" a="1"/>
  <c r="A4" i="4" s="1"/>
  <c r="C7" i="9"/>
  <c r="C10" i="9"/>
  <c r="C6" i="9"/>
  <c r="C11"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12">
    <bk>
      <extLst>
        <ext uri="{3e2802c4-a4d2-4d8b-9148-e3be6c30e623}">
          <xlrd:rvb i="1"/>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4"/>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bk>
      <extLst>
        <ext uri="{3e2802c4-a4d2-4d8b-9148-e3be6c30e623}">
          <xlrd:rvb i="322"/>
        </ext>
      </extLst>
    </bk>
    <bk>
      <extLst>
        <ext uri="{3e2802c4-a4d2-4d8b-9148-e3be6c30e623}">
          <xlrd:rvb i="325"/>
        </ext>
      </extLst>
    </bk>
    <bk>
      <extLst>
        <ext uri="{3e2802c4-a4d2-4d8b-9148-e3be6c30e623}">
          <xlrd:rvb i="328"/>
        </ext>
      </extLst>
    </bk>
    <bk>
      <extLst>
        <ext uri="{3e2802c4-a4d2-4d8b-9148-e3be6c30e623}">
          <xlrd:rvb i="331"/>
        </ext>
      </extLst>
    </bk>
    <bk>
      <extLst>
        <ext uri="{3e2802c4-a4d2-4d8b-9148-e3be6c30e623}">
          <xlrd:rvb i="334"/>
        </ext>
      </extLst>
    </bk>
    <bk>
      <extLst>
        <ext uri="{3e2802c4-a4d2-4d8b-9148-e3be6c30e623}">
          <xlrd:rvb i="337"/>
        </ext>
      </extLst>
    </bk>
  </futureMetadata>
  <cellMetadata count="1">
    <bk>
      <rc t="1" v="0"/>
    </bk>
  </cellMetadata>
  <valueMetadata count="11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valueMetadata>
</metadata>
</file>

<file path=xl/sharedStrings.xml><?xml version="1.0" encoding="utf-8"?>
<sst xmlns="http://schemas.openxmlformats.org/spreadsheetml/2006/main" count="813" uniqueCount="399">
  <si>
    <t>Investment Analysis Tracker</t>
  </si>
  <si>
    <t>Buffett-Style Valuation Zone Dashboard</t>
  </si>
  <si>
    <t>VALUATION ZONE COLOR LEGEND</t>
  </si>
  <si>
    <t>Deep Value / Strong Buy</t>
  </si>
  <si>
    <t>Price is significantly below conservative intrinsic value. Maximum margin of safety. Fat pitch.</t>
  </si>
  <si>
    <t>Value / Buy</t>
  </si>
  <si>
    <t>Price is below fair value with adequate margin of safety. Good entry point for long-term investors.</t>
  </si>
  <si>
    <t>Fair Value / Hold</t>
  </si>
  <si>
    <t>Price is around intrinsic value. Hold if owned, don't initiate new positions. No margin of safety.</t>
  </si>
  <si>
    <t>Fully Valued / Trim</t>
  </si>
  <si>
    <t>Price exceeds base-case intrinsic value. Consider trimming. Downside risk exceeds upside.</t>
  </si>
  <si>
    <t>Overvalued / Sell</t>
  </si>
  <si>
    <t>Price is significantly above all intrinsic value estimates. Sell or avoid. Negative returns likely.</t>
  </si>
  <si>
    <t>Weak Business / Never Buy</t>
  </si>
  <si>
    <t>Fundamentally broken business. No price is cheap enough. Fails core Buffett quality criteria.</t>
  </si>
  <si>
    <t>HOW TO USE THIS WORKBOOK</t>
  </si>
  <si>
    <t>Step 1: Enter Current Prices</t>
  </si>
  <si>
    <t>Go to 'All Companies' sheet. Enter today's stock price in the 'Current Price' column (F). Zone + colors update automatically.</t>
  </si>
  <si>
    <t>Step 2: Excel Stocks (Optional)</t>
  </si>
  <si>
    <t>Select ticker cells (col C) &gt; Data tab &gt; Stocks. Excel links to live data. Then use =C3.Price in col F for auto prices.</t>
  </si>
  <si>
    <t>Step 3: Read Zone Colors</t>
  </si>
  <si>
    <t>Entire rows auto-color based on which valuation zone the current price falls in. Green = buy, Red = avoid.</t>
  </si>
  <si>
    <t>Step 4: Category Sheets</t>
  </si>
  <si>
    <t>Each zone has its own sheet with a FILTER formula. Companies auto-appear/disappear as their zone changes with price.</t>
  </si>
  <si>
    <t>Step 5: Add New Companies</t>
  </si>
  <si>
    <t>Add rows at the bottom of 'All Companies'. Fill zone boundaries. Update FILTER range in category sheets if needed.</t>
  </si>
  <si>
    <t>IMPORTANT NOTES</t>
  </si>
  <si>
    <t xml:space="preserve">  All intrinsic values are estimates based on Buffett-style analysis. They are NOT price targets.</t>
  </si>
  <si>
    <t xml:space="preserve">  Zone boundaries are derived from DCF, relative valuation, and margin-of-safety frameworks.</t>
  </si>
  <si>
    <t xml:space="preserve">  Quality Score reflects business quality (moat, management, financials) - NOT valuation attractiveness.</t>
  </si>
  <si>
    <t xml:space="preserve">  A high quality score + Deep Value zone = highest conviction opportunity.</t>
  </si>
  <si>
    <t xml:space="preserve">  Prices and valuations are from the date of analysis. Re-evaluate if fundamentals change materially.</t>
  </si>
  <si>
    <t xml:space="preserve">  This is NOT financial advice. Do your own due diligence before investing.</t>
  </si>
  <si>
    <t>Investment Analysis Tracker - Buffett Valuation Zones</t>
  </si>
  <si>
    <t>Sr.</t>
  </si>
  <si>
    <t>Company Name</t>
  </si>
  <si>
    <t>Ticker</t>
  </si>
  <si>
    <t>Exchange</t>
  </si>
  <si>
    <t>Quality</t>
  </si>
  <si>
    <t>Current Price (Rs)</t>
  </si>
  <si>
    <t>Deep Value
Below (Rs)</t>
  </si>
  <si>
    <t>Value/Buy
Up To (Rs)</t>
  </si>
  <si>
    <t>Fair Value
Up To (Rs)</t>
  </si>
  <si>
    <t>Overvalued
Above (Rs)</t>
  </si>
  <si>
    <t>Conservative
IV (Rs)</t>
  </si>
  <si>
    <t>Base Case
IV (Rs)</t>
  </si>
  <si>
    <t>Optimistic
IV (Rs)</t>
  </si>
  <si>
    <t>Current Zone</t>
  </si>
  <si>
    <t>Upside to
Base IV (%)</t>
  </si>
  <si>
    <t>Key Notes</t>
  </si>
  <si>
    <t>Adcounty Media India</t>
  </si>
  <si>
    <t>BSE</t>
  </si>
  <si>
    <t>6.3/10</t>
  </si>
  <si>
    <t>Asset-light AdTech; 30%+ revenue CAGR. RISK: debtor days 69-161, weak moat</t>
  </si>
  <si>
    <t>Advani Hotels &amp; Resorts</t>
  </si>
  <si>
    <t>NSE</t>
  </si>
  <si>
    <t>7.3/10</t>
  </si>
  <si>
    <t>Single 5-star Goa asset; 34% ROE but zero growth runway</t>
  </si>
  <si>
    <t>Ambuja Cements</t>
  </si>
  <si>
    <t>5.6/10</t>
  </si>
  <si>
    <t>3rd largest cement; 100+ MTPA. Commodity business, Adani-backed</t>
  </si>
  <si>
    <t>APL Apollo Tubes</t>
  </si>
  <si>
    <t>7.7/10</t>
  </si>
  <si>
    <t>50% market share steel tubes; 22%+ ROCE. Fortress balance sheet</t>
  </si>
  <si>
    <t>Apollo Tyres</t>
  </si>
  <si>
    <t>5.1/10</t>
  </si>
  <si>
    <t>Mediocre ROE 9-10%; commodity business; deteriorating cash conversion</t>
  </si>
  <si>
    <t>Arrow Greentech</t>
  </si>
  <si>
    <t>6.9/10</t>
  </si>
  <si>
    <t>India's largest water-soluble film maker; 50%+ ROIC, zero debt. Volatile earnings</t>
  </si>
  <si>
    <t>AU Small Finance Bank</t>
  </si>
  <si>
    <t>7.4/10</t>
  </si>
  <si>
    <t>Superior NIM 5.5-6%; first SFB to get universal bank license. Overpriced</t>
  </si>
  <si>
    <t>Avenue Supermarts (DMart)</t>
  </si>
  <si>
    <t>8.3/10</t>
  </si>
  <si>
    <t>Lowest-cost retailer; 13.4% ROE, debt-free. Founder 74.65% ownership</t>
  </si>
  <si>
    <t>Axis Bank</t>
  </si>
  <si>
    <t>7.9/10</t>
  </si>
  <si>
    <t>True Buffett Bank; 16% ROE, #1 merchant acquiring (19.7% share)</t>
  </si>
  <si>
    <t>Bandhan Bank</t>
  </si>
  <si>
    <t>5/10</t>
  </si>
  <si>
    <t>Contrarian only; near book value. Weak moat, management transition</t>
  </si>
  <si>
    <t>Bank of Baroda</t>
  </si>
  <si>
    <t>GNPA improved 9.4% to 2.04%; 15.6% ROE at 0.91x P/B. PSU governance risk</t>
  </si>
  <si>
    <t>Bank of India</t>
  </si>
  <si>
    <t>5.7/10</t>
  </si>
  <si>
    <t>Fair company at fair price; ROA &lt;1%, NIM compressing. PSB constraints</t>
  </si>
  <si>
    <t>Bharat Electronics</t>
  </si>
  <si>
    <t>9/10</t>
  </si>
  <si>
    <t>Govt monopoly defence electronics; 39% ROCE, debt-free. Rs73,450 Cr order book</t>
  </si>
  <si>
    <t>Bharti Airtel</t>
  </si>
  <si>
    <t>8.2/10</t>
  </si>
  <si>
    <t>Telecom oligopoly toll-bridge; 57% operating margins, 65% profit CAGR</t>
  </si>
  <si>
    <t>Groww (Billionbrains)</t>
  </si>
  <si>
    <t>7.8/10</t>
  </si>
  <si>
    <t>62% EBITDA margins, 50% ROE. RISK: 53% revenue from derivatives (SEBI crackdown)</t>
  </si>
  <si>
    <t>Canara Bank</t>
  </si>
  <si>
    <t>7.1/10</t>
  </si>
  <si>
    <t>Best-in-class PSB asset quality; GNPA 2.08%, 18% ROE. Weak CASA 29.5%</t>
  </si>
  <si>
    <t>Caplin Point Laboratories</t>
  </si>
  <si>
    <t>8.7/10</t>
  </si>
  <si>
    <t>Elite pharma compounder; 23% ROE, 26% ROCE, zero debt, Rs600 Cr net cash</t>
  </si>
  <si>
    <t>Castrol India</t>
  </si>
  <si>
    <t>8/10</t>
  </si>
  <si>
    <t>60% ROCE, 5% div yield, zero debt cash cow. EV transition risk long-term</t>
  </si>
  <si>
    <t>CEAT Ltd</t>
  </si>
  <si>
    <t>Mediocre tyre business; commodity-dependent, capital-intensive</t>
  </si>
  <si>
    <t>Coal India</t>
  </si>
  <si>
    <t>World's largest coal producer; 38% ROE, 5.8% div yield. Energy transition risk post-2035</t>
  </si>
  <si>
    <t>Colgate-Palmolive India</t>
  </si>
  <si>
    <t>80%+ ROE, 89-yr franchise, zero debt. Market share eroding 58% to 43%</t>
  </si>
  <si>
    <t>CRISIL</t>
  </si>
  <si>
    <t>8.5/10</t>
  </si>
  <si>
    <t>Regulatory toll bridge; 50%+ margins, S&amp;P Global 66.64% parent. Steady 10-13% growth</t>
  </si>
  <si>
    <t>Cupid Ltd</t>
  </si>
  <si>
    <t>6.1/10</t>
  </si>
  <si>
    <t>Weak Business</t>
  </si>
  <si>
    <t>WEAK BUSINESS: 123x PE, negative OCF, tender-dependent. Fails all Buffett criteria</t>
  </si>
  <si>
    <t>Dabur India</t>
  </si>
  <si>
    <t>6/10</t>
  </si>
  <si>
    <t>140-yr heritage but stagnating; 45x PE for 4% growth. Declining ROE</t>
  </si>
  <si>
    <t>Data Patterns India</t>
  </si>
  <si>
    <t>7/10</t>
  </si>
  <si>
    <t>Leading defence electronics; 30-35% revenue CAGR. RISK: negative OCF, 618-day CCC</t>
  </si>
  <si>
    <t>Energy Infrastructure Trust</t>
  </si>
  <si>
    <t>AAA-rated monopoly gas pipeline; 18.7% distribution yield. Illiquidity risk</t>
  </si>
  <si>
    <t>EPack Prefab</t>
  </si>
  <si>
    <t>3rd largest PEB maker; 36% rev CAGR, net cash, PEG 0.48. Narrow moat risk</t>
  </si>
  <si>
    <t>Evans Electric</t>
  </si>
  <si>
    <t>8.6/10</t>
  </si>
  <si>
    <t>75-yr niche specialist; 30% ROE, 41% ROCE, zero debt, 5.7x PE. Extreme illiquidity</t>
  </si>
  <si>
    <t>Federal Bank</t>
  </si>
  <si>
    <t>Clean bank, NRI remittance moat. CASA 32% weak; stretched at 1.86x P/B</t>
  </si>
  <si>
    <t>Force Motors</t>
  </si>
  <si>
    <t>Traveller near-monopoly; Mercedes/BMW component supply. ROE surged -6.5% to 30.3%</t>
  </si>
  <si>
    <t>Ganesh Housing</t>
  </si>
  <si>
    <t>6.7/10</t>
  </si>
  <si>
    <t>Fortress balance sheet; 35M sq ft land bank, 73% promoter. Cyclical risk</t>
  </si>
  <si>
    <t>Gillette India</t>
  </si>
  <si>
    <t>8.4/10</t>
  </si>
  <si>
    <t>Razor-and-blade moat; 59% ROCE, 42% ROE. Electric trimmer disruption risk</t>
  </si>
  <si>
    <t>HDFC Bank</t>
  </si>
  <si>
    <t>India's best bank franchise; GNPA 1.24%, 9,600+ branches. Post-merger integration</t>
  </si>
  <si>
    <t>Hindustan Unilever</t>
  </si>
  <si>
    <t>India's FMCG crown jewel; 50+ brands, 9M outlets, 20.7% ROE. D2C disruption</t>
  </si>
  <si>
    <t>Hyundai Motor India</t>
  </si>
  <si>
    <t>7.2/10</t>
  </si>
  <si>
    <t>India's #2 PV maker; debt-free, 54% ROCE. Parent cash extraction risk</t>
  </si>
  <si>
    <t>ICICI Bank</t>
  </si>
  <si>
    <t>Elite franchise; 18% ROE, highest ROA (2.18%) among large banks. Turnaround complete</t>
  </si>
  <si>
    <t>IndiaMART</t>
  </si>
  <si>
    <t>B2B toll-bridge; 60% market share, 44% FCF margins, Rs3,051 Cr cash. Founder 49% stake</t>
  </si>
  <si>
    <t>Indian Bank</t>
  </si>
  <si>
    <t>PSB turnaround; ROE 17%, GNPA 2.2%, 33% cost-to-income. PSU governance risk</t>
  </si>
  <si>
    <t>Indus Towers</t>
  </si>
  <si>
    <t>8.1/10</t>
  </si>
  <si>
    <t>India's largest tower co; 29% ROCE, 33% ROE, AAA-rated. Declining tenancy ratio</t>
  </si>
  <si>
    <t>Info Edge (Naukri)</t>
  </si>
  <si>
    <t>8.9/10</t>
  </si>
  <si>
    <t>80% recruitment traffic share; debt-free, Rs4,000 Cr cash. AI disruption wildcard</t>
  </si>
  <si>
    <t>Infosys</t>
  </si>
  <si>
    <t>Record cash flows; strong client relationships. AI threatens labour-arbitrage moat</t>
  </si>
  <si>
    <t>International Conveyors</t>
  </si>
  <si>
    <t>5.2/10</t>
  </si>
  <si>
    <t>Niche PVC conveyor belt maker; 85% coal-dependent. Investment portfolio = 64% of mcap</t>
  </si>
  <si>
    <t>IRCTC</t>
  </si>
  <si>
    <t>Govt monopoly railway ticketing; 35%+ ROE, near-zero debt. Policy risk on convenience fee</t>
  </si>
  <si>
    <t>ITC</t>
  </si>
  <si>
    <t>80% cigarette market share; 27% ROE, 4.5% div yield. Tax hike + ESG FII exodus risk</t>
  </si>
  <si>
    <t>JK Paper</t>
  </si>
  <si>
    <t>5.5/10</t>
  </si>
  <si>
    <t>Integrated paper maker; low-cost producer. Commodity cyclical business</t>
  </si>
  <si>
    <t>Kalyan Jewellers</t>
  </si>
  <si>
    <t>Strong brand, franchise model expanding. Jewellery is low-moat commodity retail</t>
  </si>
  <si>
    <t>Kamdhenu</t>
  </si>
  <si>
    <t>7.6/10</t>
  </si>
  <si>
    <t>Asset-light franchise model; high ROCE, brand royalty revenue stream</t>
  </si>
  <si>
    <t>Karur Vysya Bank</t>
  </si>
  <si>
    <t>Improving asset quality; regional moat in Tamil Nadu. Limited growth runway</t>
  </si>
  <si>
    <t>Kotak Mahindra Bank</t>
  </si>
  <si>
    <t>Premium bank franchise; strong management, conservative underwriting</t>
  </si>
  <si>
    <t>KPIT Technologies</t>
  </si>
  <si>
    <t>EV/automotive tech niche; sticky Tier-1 clients, secular tailwind</t>
  </si>
  <si>
    <t>KSE Ltd</t>
  </si>
  <si>
    <t>Dominant Kerala dairy; asset-light operations, steady cash flows</t>
  </si>
  <si>
    <t>Mahalaxmi Rubtech</t>
  </si>
  <si>
    <t>Niche rubber products; high margins, strong ROCE, undiscovered micro-cap</t>
  </si>
  <si>
    <t>Maharashtra Seamless</t>
  </si>
  <si>
    <t>Passes all 10 Buffett criteria; debt-free, seamless pipe leader</t>
  </si>
  <si>
    <t>Mahindra &amp; Mahindra</t>
  </si>
  <si>
    <t>7.5/10</t>
  </si>
  <si>
    <t>SUV dominance; diversified conglomerate, farm+auto dual engines</t>
  </si>
  <si>
    <t>Maruti Suzuki</t>
  </si>
  <si>
    <t>India's dominant auto (41% share); debt-free, 62% ROIC, Rs66K Cr cash</t>
  </si>
  <si>
    <t>MRF Ltd</t>
  </si>
  <si>
    <t>6.6/10</t>
  </si>
  <si>
    <t>India's largest tyre maker; fortress balance sheet. Mediocre 10.5% ROE</t>
  </si>
  <si>
    <t>Nestle India</t>
  </si>
  <si>
    <t>MAGGI/NESCAFE/KIT KAT franchise; 96% ROCE, 27% ROA. 69x PE = no MoS</t>
  </si>
  <si>
    <t>Olectra Greentech</t>
  </si>
  <si>
    <t>India's largest EV bus maker. Eroding moat, negative FCF, BYD-dependent</t>
  </si>
  <si>
    <t>PC Jeweller</t>
  </si>
  <si>
    <t>3.5/10</t>
  </si>
  <si>
    <t>Turnaround cigar butt; massive debt reduction. 4.5x equity dilution, broken economics</t>
  </si>
  <si>
    <t>Procter &amp; Gamble Hygiene</t>
  </si>
  <si>
    <t>Whisper 55% share + Vicks; 104% ROCE, zero debt. Overpriced at 42x PE</t>
  </si>
  <si>
    <t>PTC India</t>
  </si>
  <si>
    <t>4.9/10</t>
  </si>
  <si>
    <t>WEAK: Eroding intermediary moat; zero revenue growth for decade. 7.38% div yield</t>
  </si>
  <si>
    <t>Reliance Industries</t>
  </si>
  <si>
    <t>Jio oligopoly is Buffett-like; conglomerate dilutes quality. 8% ROE at 2.17x P/B</t>
  </si>
  <si>
    <t>Sacheerome Ltd</t>
  </si>
  <si>
    <t>B2B fragrance niche; 39% ROCE, debt-free, 52% EPS CAGR, switching costs</t>
  </si>
  <si>
    <t>Shilchar Technologies</t>
  </si>
  <si>
    <t>Transformer maker; 71% ROCE, zero debt, 37% book value CAGR, export growth</t>
  </si>
  <si>
    <t>SH Kelkar (KEVA)</t>
  </si>
  <si>
    <t>India's #1 domestic F&amp;F supplier; 100-yr brand, deep value turnaround at 1.26x P/B</t>
  </si>
  <si>
    <t>Shriram Finance</t>
  </si>
  <si>
    <t>Wide moat NBFC; 2.8% ROA, used CV finance leader, 3,225+ branches</t>
  </si>
  <si>
    <t>Solar Industries</t>
  </si>
  <si>
    <t>9.1/10</t>
  </si>
  <si>
    <t>India's explosives monopoly; 31% ROCE, 73% promoter, defence order visibility</t>
  </si>
  <si>
    <t>South Indian Bank</t>
  </si>
  <si>
    <t>5.9/10</t>
  </si>
  <si>
    <t>Cyclical recovery; GNPA 5.48% to 2.67%, ROA surged to 1.08%, 0.90x P/B</t>
  </si>
  <si>
    <t>SPML Infra</t>
  </si>
  <si>
    <t>4.3/10</t>
  </si>
  <si>
    <t>WEAK: Commodity EPC, no moat, erratic cash flows, negative 10Y avg EPS</t>
  </si>
  <si>
    <t>State Bank of India</t>
  </si>
  <si>
    <t>India's largest bank; 22K branches, 17% ROE, post-turnaround compounder</t>
  </si>
  <si>
    <t>SAIL</t>
  </si>
  <si>
    <t>3.3/10</t>
  </si>
  <si>
    <t>WEAK: Commodity steel, 4-5% ROE destroys value. Zero growth, no moat</t>
  </si>
  <si>
    <t>Swaraj Engines</t>
  </si>
  <si>
    <t>Captive Mahindra supplier; 42% ROE, 56% ROCE, zero debt, 80% payout</t>
  </si>
  <si>
    <t>Systango Technologies</t>
  </si>
  <si>
    <t>Micro-cap IT; 36% margins, zero debt, 54% profit CAGR. Client concentration risk</t>
  </si>
  <si>
    <t>Tanfac Industries</t>
  </si>
  <si>
    <t>India's largest fluorine chemicals; 45% ROCE, regulatory moat, near-zero debt</t>
  </si>
  <si>
    <t>Tata Motors</t>
  </si>
  <si>
    <t>Deep value at 1.15x book; 87% EV dominance, India CV #1. JLR cyclically stressed</t>
  </si>
  <si>
    <t>Tata Power</t>
  </si>
  <si>
    <t>Regulated monopoly T&amp;D (62% rev); strong Tata backing. Overpriced at 34x PE</t>
  </si>
  <si>
    <t>Tata Steel</t>
  </si>
  <si>
    <t>India cost moat via captive iron ore. At historic peak P/B; commodity cyclical</t>
  </si>
  <si>
    <t>Titan Company</t>
  </si>
  <si>
    <t>Trust-based jewellery moat; 9/10 quality, 30%+ ROE. 89x PE = no MoS</t>
  </si>
  <si>
    <t>TVS Holdings</t>
  </si>
  <si>
    <t>67% holdco discount; owns 50% TVS Motor + NBFC. 31%+ upside conservative</t>
  </si>
  <si>
    <t>TVS Motor</t>
  </si>
  <si>
    <t>India's 3rd largest 2W; 30% ROE, EV leader (iQube). 57x PE = fully valued</t>
  </si>
  <si>
    <t>Varun Beverages</t>
  </si>
  <si>
    <t>Largest PepsiCo bottler globally; 20% ROCE, consumer franchise. 45.8x PE</t>
  </si>
  <si>
    <t>Alphabet (Google)</t>
  </si>
  <si>
    <t>NASDAQ</t>
  </si>
  <si>
    <t>9.2/10</t>
  </si>
  <si>
    <t>Search monopoly + AI moat; 35.7% ROE, $164.7B OCF. Fairly valued at $340</t>
  </si>
  <si>
    <t>Amazon</t>
  </si>
  <si>
    <t>8.8/10</t>
  </si>
  <si>
    <t>Multi-moat giant; AWS 31% cloud share, 22.3% ROE. At value zone ($250)</t>
  </si>
  <si>
    <t>Apple</t>
  </si>
  <si>
    <t>10/10 quality; $100B+ FCF, 31% ROA, ecosystem moat. Fully valued at 34x PE</t>
  </si>
  <si>
    <t>Broadcom</t>
  </si>
  <si>
    <t>AI data center toll bridge; 42% FCF margin, 68% gross margins, elite mgmt</t>
  </si>
  <si>
    <t>Meta Platforms</t>
  </si>
  <si>
    <t>3.58B DAU ad monopoly; 82% gross margins, $46.1B FCF. AI capex risk</t>
  </si>
  <si>
    <t>Microsoft</t>
  </si>
  <si>
    <t>Enterprise toll bridge; 30%+ ROE, $51B net cash, AI/Azure widening moat</t>
  </si>
  <si>
    <t>NVIDIA</t>
  </si>
  <si>
    <t>9.7/10</t>
  </si>
  <si>
    <t>AI GPU monopoly; 55% net margins, 101% ROE, $55B net cash. Fair value at $200</t>
  </si>
  <si>
    <t>PayPal</t>
  </si>
  <si>
    <t>6.5/10</t>
  </si>
  <si>
    <t>Deep value at 9.4x PE; 25.8% ROIC, $5.6B FCF. Narrowing moat, mgmt instability</t>
  </si>
  <si>
    <t>Asian Paints Ltd</t>
  </si>
  <si>
    <t>Dominant paint brand (54% share); ROCE 26-45%, debt-free. Competitive pressure from Birla</t>
  </si>
  <si>
    <t>BLS International Services</t>
  </si>
  <si>
    <t>Toll-bridge visa outsourcer; 30%+ ROE, 0.21 D/E, negative working capital</t>
  </si>
  <si>
    <t>Bharat Coking Coal</t>
  </si>
  <si>
    <t>4.6/10</t>
  </si>
  <si>
    <t>Dominant coking coal producer (~195yr reserves), debt-free; commodity cyclical, PSU governance, ESG headwinds</t>
  </si>
  <si>
    <t>Britannia Industries</t>
  </si>
  <si>
    <t>#1 biscuits (33% share); 132-yr franchise, ROCE 53%, ROE 52.5%, zero dilution, 78% FCF conversion</t>
  </si>
  <si>
    <t>CMS Info Systems</t>
  </si>
  <si>
    <t>Toll-bridge moat in cash management; 24% ROCE, zero debt, fortress balance sheet</t>
  </si>
  <si>
    <t>Godfrey Phillips India</t>
  </si>
  <si>
    <t>Capital-light Marlboro franchise; 22.6% ROE, minimal debt, strong pricing power</t>
  </si>
  <si>
    <t>Hindustan Aeronautics</t>
  </si>
  <si>
    <t>Govt monopoly defence; 30-40yr switching costs, debt-free, Rs2.54L Cr order book</t>
  </si>
  <si>
    <t>Indian Railway Finance Corp</t>
  </si>
  <si>
    <t>Gov-backed NBFC; zero credit risk, 13% ROE, thin NIM 1.37%. Zero moat premium</t>
  </si>
  <si>
    <t>JSW Dulux</t>
  </si>
  <si>
    <t>Elite 42% ROCE, zero debt, Dulux brand moat. Rising competitive pressure in paints</t>
  </si>
  <si>
    <t>Jupiter Wagons</t>
  </si>
  <si>
    <t>Railway wagon mfr; ROCE 21.5%, narrow moat. FY26 earnings decline</t>
  </si>
  <si>
    <t>Marico</t>
  </si>
  <si>
    <t>Capital-light FMCG franchise; 62% coconut oil share, 40%+ ROCE, net cash</t>
  </si>
  <si>
    <t>NMDC</t>
  </si>
  <si>
    <t>Low-cost iron ore producer; 34% OPM, 23.6% ROE, fortress balance sheet. Commodity risk</t>
  </si>
  <si>
    <t>NTPC</t>
  </si>
  <si>
    <t>6.8/10</t>
  </si>
  <si>
    <t>Regulated utility; 13.9% ROE, 10% ROCE, sovereign backing, strong regulatory moat</t>
  </si>
  <si>
    <t>National Aluminium Co</t>
  </si>
  <si>
    <t>Low-cost aluminium producer; cost moat durable but commodity, no pricing power</t>
  </si>
  <si>
    <t>Page Industries</t>
  </si>
  <si>
    <t>Jockey innerwear exclusive licensee; 45% ROE, 59% ROCE, zero debt, zero dilution</t>
  </si>
  <si>
    <t>Titagarh Rail Systems</t>
  </si>
  <si>
    <t>6.2/10</t>
  </si>
  <si>
    <t>25% wagon market share; weak FCF, cyclical govt contractor, moat unproven</t>
  </si>
  <si>
    <t>United Spirits</t>
  </si>
  <si>
    <t>Consumer spirits franchise; 9/10 moat, 19.5% ROE, net cash. Diageo-backed</t>
  </si>
  <si>
    <t>Vedanta Ltd</t>
  </si>
  <si>
    <t>4.8/10</t>
  </si>
  <si>
    <t>Commodity price-taker; D/E 2.2x, narrow moat. Demerger catalyst May 2026</t>
  </si>
  <si>
    <t>Sirca Paints India</t>
  </si>
  <si>
    <t>Niche premium wood coatings; Italian brand (till 2041), near-zero debt, 20% ROCE. Margin compression risk</t>
  </si>
  <si>
    <t>Indigo Paints</t>
  </si>
  <si>
    <t>Category-creator decorative paints; 20% ROCE, debt-free, Rs227 Cr net cash. Sharp growth deceleration</t>
  </si>
  <si>
    <t>Kansai Nerolac Paints</t>
  </si>
  <si>
    <t>5.8/10</t>
  </si>
  <si>
    <t>#3 paint co, 61% auto coatings share; declining ROCE 13%, normalised ROE ~9%, stagnant growth</t>
  </si>
  <si>
    <t>Shalimar Paints</t>
  </si>
  <si>
    <t>1.8/10</t>
  </si>
  <si>
    <t>Chronically loss-making (&lt;1% share); -23% ROE, eroding equity, 70.5% promoter pledge. Value trap</t>
  </si>
  <si>
    <t>Berger Paints India</t>
  </si>
  <si>
    <t>#2 paint co (20% share); 20%+ ROE, near-zero debt (D/E 0.11), 75% promoter. Paint War headwinds</t>
  </si>
  <si>
    <t>Deep Value - Strong Buy Zone</t>
  </si>
  <si>
    <t>Companies trading significantly below intrinsic value. Maximum margin of safety. Fat pitch opportunities. (Auto-updates as prices change in 'All Companies' sheet)</t>
  </si>
  <si>
    <t>Deep Value Below (Rs)</t>
  </si>
  <si>
    <t>Value/Buy Up To (Rs)</t>
  </si>
  <si>
    <t>Fair Value Up To (Rs)</t>
  </si>
  <si>
    <t>Overvalued Above (Rs)</t>
  </si>
  <si>
    <t>Conservative IV (Rs)</t>
  </si>
  <si>
    <t>Base Case IV (Rs)</t>
  </si>
  <si>
    <t>Optimistic IV (Rs)</t>
  </si>
  <si>
    <t>Upside to Base IV (%)</t>
  </si>
  <si>
    <t>Value - Buy Zone</t>
  </si>
  <si>
    <t>Companies trading below fair value with adequate margin of safety. Good entry points. (Auto-updates as prices change in 'All Companies' sheet)</t>
  </si>
  <si>
    <t>Fair Value - Hold Zone</t>
  </si>
  <si>
    <t>Companies trading around intrinsic value. Hold if owned, don't initiate new positions. (Auto-updates as prices change in 'All Companies' sheet)</t>
  </si>
  <si>
    <t>Fully Valued - Trim Zone</t>
  </si>
  <si>
    <t>Companies trading above base-case intrinsic value. Consider trimming positions. (Auto-updates as prices change in 'All Companies' sheet)</t>
  </si>
  <si>
    <t>Overvalued - Sell Zone</t>
  </si>
  <si>
    <t>Companies significantly above all intrinsic value estimates. Sell or avoid entirely. (Auto-updates as prices change in 'All Companies' sheet)</t>
  </si>
  <si>
    <t>Weak Business Zone</t>
  </si>
  <si>
    <t>Fundamentally broken businesses. No price is cheap enough. Never buy. (Auto-updates as prices change in 'All Companies' sheet)</t>
  </si>
  <si>
    <t>Portfolio Zone Distribution</t>
  </si>
  <si>
    <t>Zone</t>
  </si>
  <si>
    <t>Count</t>
  </si>
  <si>
    <t>Description</t>
  </si>
  <si>
    <t>Maximum margin of safety - fat pitch opportunities</t>
  </si>
  <si>
    <t>Below fair value - good entry points</t>
  </si>
  <si>
    <t>Around intrinsic value - hold, don't buy</t>
  </si>
  <si>
    <t>Above intrinsic value - consider trimming</t>
  </si>
  <si>
    <t>Significantly overvalued - sell or avoid</t>
  </si>
  <si>
    <t>Fundamentally broken - never buy</t>
  </si>
  <si>
    <t>Enter Price</t>
  </si>
  <si>
    <t>Price not yet entered</t>
  </si>
  <si>
    <t>TOTAL</t>
  </si>
  <si>
    <t>HIGHEST CONVICTION BUSINESSES (Ranked by Fundamental Quality)</t>
  </si>
  <si>
    <t>Company</t>
  </si>
  <si>
    <t>Business Moat &amp; Fundamentals</t>
  </si>
  <si>
    <t>AI GPU monopoly; 55% net margins, 101% ROE, $55B net cash</t>
  </si>
  <si>
    <t>Search monopoly + AI moat; 35.7% ROE, $164.7B OCF</t>
  </si>
  <si>
    <t>10/10 quality; $100B+ FCF, 31% ROA, ecosystem moat</t>
  </si>
  <si>
    <t>Govt monopoly defence electronics; 39% ROCE, debt-free</t>
  </si>
  <si>
    <t>80% recruitment traffic share; debt-free, Rs4,000 Cr cash</t>
  </si>
  <si>
    <t>MAGGI/NESCAFE/KIT KAT franchise; 96% ROCE, 27% ROA</t>
  </si>
  <si>
    <t>Multi-moat giant; AWS 31% cloud share, 22.3% ROE</t>
  </si>
  <si>
    <t>B2B toll-bridge; 60% market share, 44% FCF margins, Rs3,051 Cr cash</t>
  </si>
  <si>
    <t>75-yr niche specialist; 30% ROE, 41% ROCE, zero debt, 5.7x PE</t>
  </si>
  <si>
    <t>Regulatory toll bridge; 50%+ margins, S&amp;P Global 66.64% parent</t>
  </si>
  <si>
    <t>India's 3rd largest 2W; 30% ROE, EV leader (iQube)</t>
  </si>
  <si>
    <t>Consumer spirits franchise; 9/10 moat, 19.5% ROE, net cash</t>
  </si>
  <si>
    <t>Razor-and-blade moat; 59% ROCE, 42% ROE</t>
  </si>
  <si>
    <t>Elite franchise; 18% ROE, highest ROA (2.18%) among large banks</t>
  </si>
  <si>
    <t>Govt monopoly railway ticketing; 35%+ ROE, near-zero debt</t>
  </si>
  <si>
    <t>Improving asset quality; regional moat in Tamil Nadu</t>
  </si>
  <si>
    <t>Lowest-cost retailer; 13.4% ROE, debt-free</t>
  </si>
  <si>
    <t>India's best bank franchise; GNPA 1.24%, 9,600+ branches</t>
  </si>
  <si>
    <t>80% cigarette market share; 27% ROE, 4.5% div yield</t>
  </si>
  <si>
    <t>Trust-based jewellery moat; 9/10 quality, 30%+ ROE</t>
  </si>
  <si>
    <t>AAA-rated monopoly gas pipeline; 18.7% distribution yield</t>
  </si>
  <si>
    <t>India's largest tower co; 29% ROCE, 33% ROE, AAA-rated</t>
  </si>
  <si>
    <t>67% holdco discount; owns 50% TVS Motor + NBFC</t>
  </si>
  <si>
    <t>Dominant paint brand (54% share); ROCE 26-45%, debt-free</t>
  </si>
  <si>
    <t>60% ROCE, 5% div yield, zero debt cash cow</t>
  </si>
  <si>
    <t>India's FMCG crown jewel; 50+ brands, 9M outlets, 20.7% ROE</t>
  </si>
  <si>
    <t>3.58B DAU ad monopoly; 82% gross margins, $46.1B FCF</t>
  </si>
  <si>
    <t>Largest PepsiCo bottler globally; 20% ROCE, consumer franchise</t>
  </si>
  <si>
    <t>World's largest coal producer; 38% ROE, 5.8% div yield</t>
  </si>
  <si>
    <t>80%+ ROE, 89-yr franchise, zero debt</t>
  </si>
  <si>
    <t>3rd largest PEB maker; 36% rev CAGR, net cash, PEG 0.48</t>
  </si>
  <si>
    <t>Whisper 55% share + Vicks; 104% ROCE, zero debt</t>
  </si>
  <si>
    <t>#2 paint co (20% share); 20%+ ROE, near-zero debt (D/E 0.11), 75% promoter</t>
  </si>
  <si>
    <t>62% EBITDA margins, 50% ROE</t>
  </si>
  <si>
    <t>Elite 42% ROCE, zero debt, Dulux brand moat</t>
  </si>
  <si>
    <t>50% market share steel tubes; 22%+ ROCE</t>
  </si>
  <si>
    <t>Traveller near-monopoly; Mercedes/BMW component supply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</si>
</sst>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20"/>
      <color rgb="FF2C3E50"/>
      <name val="Calibri"/>
      <family val="2"/>
      <scheme val="minor"/>
    </font>
    <font>
      <i/>
      <sz val="13"/>
      <color rgb="FF7F8C8D"/>
      <name val="Calibri"/>
      <family val="2"/>
      <scheme val="minor"/>
    </font>
    <font>
      <b/>
      <sz val="13"/>
      <color rgb="FF2C3E50"/>
      <name val="Calibri"/>
      <family val="2"/>
      <scheme val="minor"/>
    </font>
    <font>
      <b/>
      <sz val="11"/>
      <color rgb="FFFFFFFF"/>
      <name val="Calibri"/>
      <family val="2"/>
      <scheme val="minor"/>
    </font>
    <font>
      <b/>
      <sz val="11"/>
      <color rgb="FF000000"/>
      <name val="Calibri"/>
      <family val="2"/>
      <scheme val="minor"/>
    </font>
    <font>
      <b/>
      <sz val="11"/>
      <color rgb="FF333333"/>
      <name val="Calibri"/>
      <family val="2"/>
      <scheme val="minor"/>
    </font>
    <font>
      <b/>
      <sz val="11"/>
      <color theme="1"/>
      <name val="Calibri"/>
      <family val="2"/>
      <scheme val="minor"/>
    </font>
    <font>
      <sz val="10"/>
      <color rgb="FF555555"/>
      <name val="Calibri"/>
      <family val="2"/>
      <scheme val="minor"/>
    </font>
    <font>
      <b/>
      <sz val="14"/>
      <color rgb="FFFFFFFF"/>
      <name val="Calibri"/>
      <family val="2"/>
      <scheme val="minor"/>
    </font>
    <font>
      <i/>
      <sz val="11"/>
      <color rgb="FF666666"/>
      <name val="Calibri"/>
      <family val="2"/>
      <scheme val="minor"/>
    </font>
    <font>
      <b/>
      <sz val="14"/>
      <color rgb="FF333333"/>
      <name val="Calibri"/>
      <family val="2"/>
      <scheme val="minor"/>
    </font>
    <font>
      <b/>
      <sz val="14"/>
      <color rgb="FF2C3E50"/>
      <name val="Calibri"/>
      <family val="2"/>
      <scheme val="minor"/>
    </font>
    <font>
      <b/>
      <sz val="14"/>
      <color theme="1"/>
      <name val="Calibri"/>
      <family val="2"/>
      <scheme val="minor"/>
    </font>
  </fonts>
  <fills count="12">
    <fill>
      <patternFill patternType="none"/>
    </fill>
    <fill>
      <patternFill patternType="gray125"/>
    </fill>
    <fill>
      <patternFill patternType="solid">
        <fgColor rgb="FF006400"/>
        <bgColor indexed="64"/>
      </patternFill>
    </fill>
    <fill>
      <patternFill patternType="solid">
        <fgColor rgb="FF90EE90"/>
        <bgColor indexed="64"/>
      </patternFill>
    </fill>
    <fill>
      <patternFill patternType="solid">
        <fgColor rgb="FFFFD700"/>
        <bgColor indexed="64"/>
      </patternFill>
    </fill>
    <fill>
      <patternFill patternType="solid">
        <fgColor rgb="FFFF8C00"/>
        <bgColor indexed="64"/>
      </patternFill>
    </fill>
    <fill>
      <patternFill patternType="solid">
        <fgColor rgb="FFDC143C"/>
        <bgColor indexed="64"/>
      </patternFill>
    </fill>
    <fill>
      <patternFill patternType="solid">
        <fgColor rgb="FF1A1A1A"/>
        <bgColor indexed="64"/>
      </patternFill>
    </fill>
    <fill>
      <patternFill patternType="solid">
        <fgColor rgb="FF2C3E50"/>
        <bgColor indexed="64"/>
      </patternFill>
    </fill>
    <fill>
      <patternFill patternType="solid">
        <fgColor rgb="FFF5F5F5"/>
        <bgColor indexed="64"/>
      </patternFill>
    </fill>
    <fill>
      <patternFill patternType="solid">
        <fgColor rgb="FF228B22"/>
        <bgColor indexed="64"/>
      </patternFill>
    </fill>
    <fill>
      <patternFill patternType="solid">
        <fgColor rgb="FFDAA52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6">
    <xf numFmtId="0" fontId="0" fillId="0" borderId="0" xfId="0"/>
    <xf numFmtId="0" fontId="4" fillId="2" borderId="1" xfId="0" applyFont="1" applyFill="1" applyBorder="1" applyAlignment="1">
      <alignment horizontal="center" vertical="center"/>
    </xf>
    <xf numFmtId="0" fontId="0" fillId="0" borderId="1" xfId="0" applyBorder="1" applyAlignment="1">
      <alignment vertical="center" wrapText="1"/>
    </xf>
    <xf numFmtId="0" fontId="5" fillId="3" borderId="1" xfId="0" applyFont="1" applyFill="1" applyBorder="1" applyAlignment="1">
      <alignment horizontal="center" vertical="center"/>
    </xf>
    <xf numFmtId="0" fontId="6"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7" fillId="0" borderId="0" xfId="0" applyFont="1"/>
    <xf numFmtId="0" fontId="0" fillId="0" borderId="0" xfId="0" applyAlignment="1">
      <alignment wrapText="1"/>
    </xf>
    <xf numFmtId="0" fontId="4" fillId="8" borderId="2" xfId="0" applyFont="1" applyFill="1" applyBorder="1" applyAlignment="1">
      <alignment horizontal="center" vertical="center" wrapText="1"/>
    </xf>
    <xf numFmtId="0" fontId="0" fillId="0" borderId="2" xfId="0" applyBorder="1" applyAlignment="1">
      <alignment horizontal="center" vertical="center"/>
    </xf>
    <xf numFmtId="0" fontId="0" fillId="0" borderId="2" xfId="0" applyBorder="1" applyAlignment="1">
      <alignment vertical="center"/>
    </xf>
    <xf numFmtId="3" fontId="0" fillId="0" borderId="2" xfId="0" applyNumberFormat="1" applyBorder="1" applyAlignment="1">
      <alignment horizontal="center" vertical="center"/>
    </xf>
    <xf numFmtId="0" fontId="0" fillId="0" borderId="2" xfId="0" applyBorder="1" applyAlignment="1">
      <alignment vertical="center" wrapText="1"/>
    </xf>
    <xf numFmtId="0" fontId="0" fillId="9" borderId="2" xfId="0" applyFill="1" applyBorder="1" applyAlignment="1">
      <alignment horizontal="center" vertical="center"/>
    </xf>
    <xf numFmtId="0" fontId="0" fillId="9" borderId="2" xfId="0" applyFill="1" applyBorder="1" applyAlignment="1">
      <alignment vertical="center"/>
    </xf>
    <xf numFmtId="3" fontId="0" fillId="9" borderId="2" xfId="0" applyNumberFormat="1" applyFill="1" applyBorder="1" applyAlignment="1">
      <alignment horizontal="center" vertical="center"/>
    </xf>
    <xf numFmtId="0" fontId="0" fillId="9" borderId="2" xfId="0" applyFill="1" applyBorder="1" applyAlignment="1">
      <alignment vertical="center" wrapText="1"/>
    </xf>
    <xf numFmtId="0" fontId="13" fillId="0" borderId="1" xfId="0" applyFont="1" applyBorder="1" applyAlignment="1">
      <alignment horizontal="center" vertical="center"/>
    </xf>
    <xf numFmtId="0" fontId="0" fillId="9" borderId="1" xfId="0" applyFill="1" applyBorder="1" applyAlignment="1">
      <alignment horizontal="center" vertical="center"/>
    </xf>
    <xf numFmtId="0" fontId="7" fillId="3" borderId="1" xfId="0" applyFont="1" applyFill="1" applyBorder="1"/>
    <xf numFmtId="0" fontId="0" fillId="0" borderId="1" xfId="0" applyBorder="1" applyAlignment="1">
      <alignment horizontal="center" vertical="center"/>
    </xf>
    <xf numFmtId="0" fontId="1" fillId="0" borderId="0" xfId="0" applyFont="1"/>
    <xf numFmtId="0" fontId="2" fillId="0" borderId="0" xfId="0" applyFont="1"/>
    <xf numFmtId="0" fontId="3" fillId="0" borderId="0" xfId="0" applyFont="1"/>
    <xf numFmtId="0" fontId="8" fillId="0" borderId="0" xfId="0" applyFont="1"/>
    <xf numFmtId="0" fontId="9" fillId="8" borderId="0" xfId="0" applyFont="1" applyFill="1" applyAlignment="1">
      <alignment horizontal="center" vertical="center"/>
    </xf>
    <xf numFmtId="0" fontId="9" fillId="2" borderId="0" xfId="0" applyFont="1" applyFill="1" applyAlignment="1">
      <alignment horizontal="center" vertical="center"/>
    </xf>
    <xf numFmtId="0" fontId="10" fillId="0" borderId="0" xfId="0" applyFont="1"/>
    <xf numFmtId="0" fontId="9" fillId="10" borderId="0" xfId="0" applyFont="1" applyFill="1" applyAlignment="1">
      <alignment horizontal="center" vertical="center"/>
    </xf>
    <xf numFmtId="0" fontId="11" fillId="11" borderId="0" xfId="0" applyFont="1" applyFill="1" applyAlignment="1">
      <alignment horizontal="center" vertical="center"/>
    </xf>
    <xf numFmtId="0" fontId="9" fillId="5" borderId="0" xfId="0" applyFont="1" applyFill="1" applyAlignment="1">
      <alignment horizontal="center" vertical="center"/>
    </xf>
    <xf numFmtId="0" fontId="9" fillId="6" borderId="0" xfId="0" applyFont="1" applyFill="1" applyAlignment="1">
      <alignment horizontal="center" vertical="center"/>
    </xf>
    <xf numFmtId="0" fontId="9" fillId="7" borderId="0" xfId="0" applyFont="1" applyFill="1" applyAlignment="1">
      <alignment horizontal="center" vertical="center"/>
    </xf>
    <xf numFmtId="0" fontId="12" fillId="0" borderId="0" xfId="0" applyFont="1"/>
  </cellXfs>
  <cellStyles count="1">
    <cellStyle name="Normal" xfId="0" builtinId="0"/>
  </cellStyles>
  <dxfs count="6">
    <dxf>
      <font>
        <b/>
        <color rgb="FFFFFFFF"/>
      </font>
      <fill>
        <patternFill>
          <bgColor rgb="FF1A1A1A"/>
        </patternFill>
      </fill>
      <border>
        <left style="thin">
          <color auto="1"/>
        </left>
        <right style="thin">
          <color auto="1"/>
        </right>
        <top style="thin">
          <color auto="1"/>
        </top>
        <bottom style="thin">
          <color auto="1"/>
        </bottom>
        <vertical/>
        <horizontal/>
      </border>
    </dxf>
    <dxf>
      <font>
        <b/>
        <color rgb="FFFFFFFF"/>
      </font>
      <fill>
        <patternFill>
          <bgColor rgb="FFDC143C"/>
        </patternFill>
      </fill>
      <border>
        <left style="thin">
          <color auto="1"/>
        </left>
        <right style="thin">
          <color auto="1"/>
        </right>
        <top style="thin">
          <color auto="1"/>
        </top>
        <bottom style="thin">
          <color auto="1"/>
        </bottom>
        <vertical/>
        <horizontal/>
      </border>
    </dxf>
    <dxf>
      <font>
        <b/>
        <color rgb="FFFFFFFF"/>
      </font>
      <fill>
        <patternFill>
          <bgColor rgb="FFFF8C00"/>
        </patternFill>
      </fill>
      <border>
        <left style="thin">
          <color auto="1"/>
        </left>
        <right style="thin">
          <color auto="1"/>
        </right>
        <top style="thin">
          <color auto="1"/>
        </top>
        <bottom style="thin">
          <color auto="1"/>
        </bottom>
        <vertical/>
        <horizontal/>
      </border>
    </dxf>
    <dxf>
      <font>
        <b/>
        <color rgb="FF333333"/>
      </font>
      <fill>
        <patternFill>
          <bgColor rgb="FFFFD700"/>
        </patternFill>
      </fill>
      <border>
        <left style="thin">
          <color auto="1"/>
        </left>
        <right style="thin">
          <color auto="1"/>
        </right>
        <top style="thin">
          <color auto="1"/>
        </top>
        <bottom style="thin">
          <color auto="1"/>
        </bottom>
        <vertical/>
        <horizontal/>
      </border>
    </dxf>
    <dxf>
      <font>
        <b/>
        <color rgb="FF000000"/>
      </font>
      <fill>
        <patternFill>
          <bgColor rgb="FF90EE90"/>
        </patternFill>
      </fill>
      <border>
        <left style="thin">
          <color auto="1"/>
        </left>
        <right style="thin">
          <color auto="1"/>
        </right>
        <top style="thin">
          <color auto="1"/>
        </top>
        <bottom style="thin">
          <color auto="1"/>
        </bottom>
        <vertical/>
        <horizontal/>
      </border>
    </dxf>
    <dxf>
      <font>
        <b/>
        <color rgb="FFFFFFFF"/>
      </font>
      <fill>
        <patternFill>
          <bgColor rgb="FF006400"/>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38">
  <rv s="0">
    <v>0</v>
    <v>ADCOUNTY MEDIA INDIA LIMITED (XBOM:544435)</v>
    <v>2</v>
    <v>3</v>
    <v>Finance</v>
    <v>4</v>
    <v>en-GB</v>
    <v>chc7xm</v>
    <v>268435456</v>
    <v>1</v>
    <v>Powered by Refinitiv</v>
    <v>282</v>
    <v>95.65</v>
    <v>-5.2</v>
    <v>-3.7490999999999997E-2</v>
    <v>0</v>
    <v>0</v>
    <v>INR</v>
    <v>Adcounty Media India Limited is a brand tech company focused on providing end-to-end solutions to brands that cover everything from branding to performance optimization. It operates multiple websites across various verticals, offers mobile apps, and provides a Programmatic tool called BidCounty, designed to enhance the performance and branding campaigns of its clients. Further, to help brands with the right user acquisition, it conducts market research and delivers advertising solutions. Its business is divided into two verticals: Advertising Technology (Adtech) and Digital Marketing. Within its Adtech vertical, it employs a host of tools and resources, such as its in-house applications and Websites, SMS marketing, e-mail marketing and programmatic tools, among others, to reach audiences, deliver and measure digital advertising campaigns. Within its Digital Marketing vertical, it utilizes various platforms, such as Websites, social media, search engines, and others to reach customers.</v>
    <v>Bombay Stock Exchange</v>
    <v>XBOM</v>
    <v>XBOM</v>
    <v>6th Floor Office No 6071-6072-6062, Vipul Square, B Block, Sushant Lok, Phase 1, GURGAON, HARYANA, 122002 IN</v>
    <v>138.6</v>
    <v>Media &amp; Publishing</v>
    <v>Stock</v>
    <v>46136.438715277778</v>
    <v>128.80000000000001</v>
    <v>3105166000</v>
    <v>ADCOUNTY MEDIA INDIA LIMITED</v>
    <v>ADCOUNTY MEDIA INDIA LIMITED</v>
    <v>138.6</v>
    <v>21.846599999999999</v>
    <v>138.69999999999999</v>
    <v>133.5</v>
    <v>133.5</v>
    <v>22501200</v>
    <v>544435</v>
    <v>ADCOUNTY MEDIA INDIA LIMITED (XBOM:544435)</v>
    <v>69600</v>
    <v>51920</v>
    <v>2017</v>
  </rv>
  <rv s="1">
    <v>0</v>
  </rv>
  <rv s="2">
    <v>https://www.bing.com/financeapi/forcetrigger?t=ahgrw7&amp;q=XNSE%3aADVANIHOTR&amp;form=skydnc</v>
    <v>Learn more on Bing</v>
  </rv>
  <rv s="3">
    <v>5</v>
    <v>ADVANI HOTELS AND RESORTS (INDIA) LIMITED (XNSE:ADVANIHOTR)</v>
    <v>6</v>
    <v>7</v>
    <v>Finance</v>
    <v>8</v>
    <v>en-GB</v>
    <v>ahgrw7</v>
    <v>268435456</v>
    <v>1</v>
    <v>Powered by Refinitiv</v>
    <v>68.39</v>
    <v>47</v>
    <v>0.92030000000000001</v>
    <v>-0.64</v>
    <v>-1.1742999999999998E-2</v>
    <v>INR</v>
    <v>Advani Hotels &amp; Resorts (India) Limited is an India-based company. The Company is engaged in the hotel business through its Caravela Beach Resort, which is a five-star deluxe resort situated in South Goa. It has a single operating segment, namely Hotel Business. It offers its property for accommodation, dining, experiences, weddings, and events. It has villas and approximately 201 guest rooms. It provides a range of facilities comprising resort amenities, room amenities, activities, services, bathroom, front desk services, outdoor swimming pool, parking, travel &amp; transportation, spa, business facilities, among others. Its food and beverages outlets include Lanai &amp; Cafe Cascada, Beach Hut, Castaways, Carnaval, In-Room Dining, among others. It has in-house resort activities experiences like spa sessions, parasailing, romantic beach picnics, cocktail making classes, e-bike tour, balloon art, canvas painting, golf, table tennis, among others.</v>
    <v>161</v>
    <v>National Stock Exchange of India</v>
    <v>XNSE</v>
    <v>XNSE</v>
    <v>18A &amp; 18B,, Jolly Maker Chambers - II, Nariman Point, MUMBAI, MAHARASHTRA, 400021 IN</v>
    <v>55.5</v>
    <v>Hotels &amp; Entertainment Services</v>
    <v>Stock</v>
    <v>46136.468136574076</v>
    <v>2</v>
    <v>53.58</v>
    <v>5085042000</v>
    <v>ADVANI HOTELS AND RESORTS (INDIA) LIMITED</v>
    <v>ADVANI HOTELS AND RESORTS (INDIA) LIMITED</v>
    <v>55.5</v>
    <v>21.1357</v>
    <v>54.5</v>
    <v>53.86</v>
    <v>92438500</v>
    <v>ADVANIHOTR</v>
    <v>ADVANI HOTELS AND RESORTS (INDIA) LIMITED (XNSE:ADVANIHOTR)</v>
    <v>17861</v>
    <v>38500</v>
    <v>1987</v>
  </rv>
  <rv s="1">
    <v>3</v>
  </rv>
  <rv s="2">
    <v>https://www.bing.com/financeapi/forcetrigger?t=ahgv6h&amp;q=XNSE%3aAMBUJACEM&amp;form=skydnc</v>
    <v>Learn more on Bing</v>
  </rv>
  <rv s="3">
    <v>5</v>
    <v>AMBUJA CEMENTS LIMITED (XNSE:AMBUJACEM)</v>
    <v>6</v>
    <v>7</v>
    <v>Finance</v>
    <v>8</v>
    <v>en-GB</v>
    <v>ahgv6h</v>
    <v>268435456</v>
    <v>1</v>
    <v>Powered by Refinitiv</v>
    <v>624.95000000000005</v>
    <v>394</v>
    <v>1.0426</v>
    <v>0.8</v>
    <v>1.776E-3</v>
    <v>INR</v>
    <v>Ambuja Cements Limited is an India-based cement company. The Company’s principal activity is to manufacture and market cement and cement-related products. The Company’s segments include Cement and Ready Mix Concrete. The Company's products include Ambuja Cement, Ambuja Kawach, Ambuja Plus, Ambuja Cool Walls, Ambuja Compocem, Ambuja Buildcem, Ambuja Powercem, Ambuja Railcem, and Purasand for Concrete &amp; Plaster. It serves a diverse customer base, including individual home builders (IHBs), developers, institutional clients, masons, contractors and professionals. Its cement capacity is 102.95 MTPA with 24 integrated cement manufacturing plants and 22 cement grinding units across the country. The Ambuja Plus product is a special cement for denser and leak-proof concrete. The Ambuja Compocem product is slag and silicate enriched composite (green) cement. The Company's subsidiaries include M.G.T Cements Private Limited, Chemical Limes Mundwa Private Limited, and others.</v>
    <v>4509</v>
    <v>National Stock Exchange of India</v>
    <v>XNSE</v>
    <v>XNSE</v>
    <v>Adani Corporate House, Shantigram, Near Vaishno Devi Circle, S.G. Highway,, AHMEDABAD, GUJARAT, 382421 IN</v>
    <v>457.7</v>
    <v>Construction Materials</v>
    <v>Stock</v>
    <v>46136.468113425923</v>
    <v>5</v>
    <v>440.4</v>
    <v>1328976000000</v>
    <v>AMBUJA CEMENTS LIMITED</v>
    <v>AMBUJA CEMENTS LIMITED</v>
    <v>451</v>
    <v>29.976099999999999</v>
    <v>450.4</v>
    <v>451.2</v>
    <v>2484817000</v>
    <v>AMBUJACEM</v>
    <v>AMBUJA CEMENTS LIMITED (XNSE:AMBUJACEM)</v>
    <v>3729295</v>
    <v>3010330</v>
    <v>1981</v>
  </rv>
  <rv s="1">
    <v>6</v>
  </rv>
  <rv s="2">
    <v>https://www.bing.com/financeapi/forcetrigger?t=ahgwmw&amp;q=XNSE%3aAPLAPOLLO&amp;form=skydnc</v>
    <v>Learn more on Bing</v>
  </rv>
  <rv s="3">
    <v>5</v>
    <v>APL Apollo Tubes Limited (XNSE:APLAPOLLO)</v>
    <v>6</v>
    <v>7</v>
    <v>Finance</v>
    <v>8</v>
    <v>en-GB</v>
    <v>ahgwmw</v>
    <v>268435456</v>
    <v>1</v>
    <v>Powered by Refinitiv</v>
    <v>2301.4</v>
    <v>1492</v>
    <v>0.4214</v>
    <v>-18.399999999999999</v>
    <v>-9.0959999999999999E-3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2039.5</v>
    <v>Metals &amp; Mining</v>
    <v>Stock</v>
    <v>46136.468159722222</v>
    <v>8</v>
    <v>1979</v>
    <v>528952200000</v>
    <v>APL Apollo Tubes Limited</v>
    <v>APL Apollo Tubes Limited</v>
    <v>2028</v>
    <v>48.727800000000002</v>
    <v>2022.9</v>
    <v>2004.5</v>
    <v>277658400</v>
    <v>APLAPOLLO</v>
    <v>APL Apollo Tubes Limited (XNSE:APLAPOLLO)</v>
    <v>581997</v>
    <v>735310</v>
    <v>1986</v>
  </rv>
  <rv s="1">
    <v>9</v>
  </rv>
  <rv s="2">
    <v>https://www.bing.com/financeapi/forcetrigger?t=ahgwvh&amp;q=XNSE%3aAPOLLOTYRE&amp;form=skydnc</v>
    <v>Learn more on Bing</v>
  </rv>
  <rv s="3">
    <v>5</v>
    <v>APOLLO TYRES LIMITED. (XNSE:APOLLOTYRE)</v>
    <v>6</v>
    <v>7</v>
    <v>Finance</v>
    <v>8</v>
    <v>en-GB</v>
    <v>ahgwvh</v>
    <v>268435456</v>
    <v>1</v>
    <v>Powered by Refinitiv</v>
    <v>540.5</v>
    <v>392.05</v>
    <v>1.0926</v>
    <v>-8.6</v>
    <v>-1.9886999999999998E-2</v>
    <v>INR</v>
    <v>Apollo Tyres Limited is engaged in the manufacturing and sale of automotive tires. The Company operates through the automobile tires, automobile tubes and automobile flaps segment. Its geographical segments include Asia Pacific, Middle East, and Africa (APMEA), Europe and Others. It caters to specific consumer segments through its brands, Apollo and Vredestein. The Apollo brand is available across various categories, including commercial, passenger vehicles, two-wheelers, farm, and industrial. The Vredestein brand products include car tires, tires for agricultural and industrial applications and bicycle tires. The Company’s product portfolio includes the entire range of passenger car, light truck, passenger vehicle, truck and bus, and two-wheeler. Its operations are in India and comprises five tire manufacturing plants, two located in Cochin and one each at Vadodara, Chennai, and Andhra Pradesh. The Company's subsidiaries include Apollo Tyres (NL) B.V., Apollo Tyres AG, and others.</v>
    <v>15681</v>
    <v>National Stock Exchange of India</v>
    <v>XNSE</v>
    <v>XNSE</v>
    <v>Apollo House, 7 Institutional Area, Sector 32, GURGAON, HARYANA, 122001 IN</v>
    <v>434.2</v>
    <v>Automobiles &amp; Auto Parts</v>
    <v>Stock</v>
    <v>46136.468101851853</v>
    <v>11</v>
    <v>421.9</v>
    <v>329704200000</v>
    <v>APOLLO TYRES LIMITED.</v>
    <v>APOLLO TYRES LIMITED.</v>
    <v>432.45</v>
    <v>29.0185</v>
    <v>432.45</v>
    <v>423.85</v>
    <v>632581400</v>
    <v>APOLLOTYRE</v>
    <v>APOLLO TYRES LIMITED. (XNSE:APOLLOTYRE)</v>
    <v>337070</v>
    <v>938690</v>
    <v>1972</v>
  </rv>
  <rv s="1">
    <v>12</v>
  </rv>
  <rv s="2">
    <v>https://www.bing.com/financeapi/forcetrigger?t=ahgxur&amp;q=XNSE%3aARROWGREEN&amp;form=skydnc</v>
    <v>Learn more on Bing</v>
  </rv>
  <rv s="3">
    <v>5</v>
    <v>ARROW GREENTECH LIMITED (XNSE:ARROWGREEN)</v>
    <v>6</v>
    <v>7</v>
    <v>Finance</v>
    <v>8</v>
    <v>en-GB</v>
    <v>ahgxur</v>
    <v>268435456</v>
    <v>1</v>
    <v>Powered by Refinitiv</v>
    <v>817.95</v>
    <v>341.95</v>
    <v>0.48139999999999999</v>
    <v>-18.5</v>
    <v>-3.3964000000000001E-2</v>
    <v>INR</v>
    <v>Arrow Greentech Limited is an India-based company, which is engaged in the business of bio-degradable (green) products, high-tech product, and having Patents income for such products/technology. Its primary business activities include Manufacturing of Water Soluble Film, Royalty Income-Patent, and Anti Counterfeit Products. The Company has two operating segments, namely Green Products and Hightech Products. The Green Products segment offers a suite of Water Soluble Film, Bio-compostable Products, and Other Green Products. The Hightech Products segment offers Anti-Counterfeit Products, Intellectual Property Rights (IPRs), and other Hightech Products. The Company’s subsidiaries include Arrow Green Technologies (UK) Limited, Advance IP Technologies Limited, Advance Secure Products B.V., Avery Pharmaceuticals Private Limited, LQ Arrow Security Products (India) Private Limited, and Arrow Secure Technology Private Limited. The Company has two production units in Gujarat.</v>
    <v>127</v>
    <v>National Stock Exchange of India</v>
    <v>XNSE</v>
    <v>XNSE</v>
    <v>1/F Laxmi Industrial Estate, New Link Road,, MUMBAI, MAHARASHTRA, 400053 IN</v>
    <v>549.1</v>
    <v>Containers &amp; Packaging</v>
    <v>Stock</v>
    <v>46136.468124999999</v>
    <v>14</v>
    <v>524</v>
    <v>7181104000</v>
    <v>ARROW GREENTECH LIMITED</v>
    <v>ARROW GREENTECH LIMITED</v>
    <v>544.70000000000005</v>
    <v>15.4626</v>
    <v>544.70000000000005</v>
    <v>526.20000000000005</v>
    <v>15087940</v>
    <v>ARROWGREEN</v>
    <v>ARROW GREENTECH LIMITED (XNSE:ARROWGREEN)</v>
    <v>17478</v>
    <v>46330</v>
    <v>1992</v>
  </rv>
  <rv s="1">
    <v>15</v>
  </rv>
  <rv s="2">
    <v>https://www.bing.com/financeapi/forcetrigger?t=ahh1bh&amp;q=XNSE%3aAUBANK&amp;form=skydnc</v>
    <v>Learn more on Bing</v>
  </rv>
  <rv s="3">
    <v>5</v>
    <v>AU SMALL FINANCE BANK LIMITED (XNSE:AUBANK)</v>
    <v>6</v>
    <v>7</v>
    <v>Finance</v>
    <v>8</v>
    <v>en-GB</v>
    <v>ahh1bh</v>
    <v>268435456</v>
    <v>1</v>
    <v>Powered by Refinitiv</v>
    <v>1079.55</v>
    <v>592</v>
    <v>1.0358000000000001</v>
    <v>9.4</v>
    <v>8.8990000000000007E-3</v>
    <v>INR</v>
    <v>AU Small Finance Bank Limited is an India-based non-deposit accepting non-banking financial company (NBFC-ND). The Company is engaged in providing a range of banking and financial services, including retail banking, wholesale banking and treasury operations and other services. Its segments include treasury, retail banking, wholesale banking, and other banking businesses. The treasury segment primarily consists of interest from investment portfolios, money market borrowing and lending. The retail banking segment include digital banking, and other retail banking. The wholesale banking segment provides loans and transaction services to large corporates, emerging corporates, public sector units, government bodies, financial institutions, and medium scale enterprises. Its personal banking includes savings account, salary account, and fixed deposits. It offers various types of loans, which include car loan, home loan, personal loan, tractor loan and others.</v>
    <v>50946</v>
    <v>National Stock Exchange of India</v>
    <v>XNSE</v>
    <v>XNSE</v>
    <v>Bank House, Mile 0, Ajmer Road,, JAIPUR, RAJASTHAN, 302001 IN</v>
    <v>1079.55</v>
    <v>Banking Services</v>
    <v>Stock</v>
    <v>46136.468148148146</v>
    <v>17</v>
    <v>1047.25</v>
    <v>726222300000</v>
    <v>AU SMALL FINANCE BANK LIMITED</v>
    <v>AU SMALL FINANCE BANK LIMITED</v>
    <v>1058.7</v>
    <v>34.340800000000002</v>
    <v>1056.25</v>
    <v>1065.6500000000001</v>
    <v>748358800</v>
    <v>AUBANK</v>
    <v>AU SMALL FINANCE BANK LIMITED (XNSE:AUBANK)</v>
    <v>4259236</v>
    <v>2296110</v>
    <v>1996</v>
  </rv>
  <rv s="1">
    <v>18</v>
  </rv>
  <rv s="2">
    <v>https://www.bing.com/financeapi/forcetrigger?t=ahhktc&amp;q=XNSE%3aDMART&amp;form=skydnc</v>
    <v>Learn more on Bing</v>
  </rv>
  <rv s="3">
    <v>5</v>
    <v>AVENUE SUPERMARTS LIMITED (XNSE:DMART)</v>
    <v>6</v>
    <v>7</v>
    <v>Finance</v>
    <v>8</v>
    <v>en-GB</v>
    <v>ahhktc</v>
    <v>268435456</v>
    <v>1</v>
    <v>Powered by Refinitiv</v>
    <v>4949.5</v>
    <v>3529</v>
    <v>1.0704</v>
    <v>-77.7</v>
    <v>-1.7186E-2</v>
    <v>INR</v>
    <v>Avenue Supermarts Limited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424 stores and has a presence across Maharashtra, Gujarat, Andhra Pradesh, Madhya Pradesh, Karnataka, Telangana, and Chhattisgarh.</v>
    <v>16959</v>
    <v>National Stock Exchange of India</v>
    <v>XNSE</v>
    <v>XNSE</v>
    <v>B-72/72A, Wagle Industrial Estate, Road No. 33, Kamgar Hospital Road, THANE, MAHARASHTRA, 400604 IN</v>
    <v>4559.5</v>
    <v>Food &amp; Drug Retailing</v>
    <v>Stock</v>
    <v>46136.468148148146</v>
    <v>20</v>
    <v>4416</v>
    <v>2490291000000</v>
    <v>AVENUE SUPERMARTS LIMITED</v>
    <v>AVENUE SUPERMARTS LIMITED</v>
    <v>4559.5</v>
    <v>100.9311</v>
    <v>4521.2</v>
    <v>4443.5</v>
    <v>652123700</v>
    <v>DMART</v>
    <v>AVENUE SUPERMARTS LIMITED (XNSE:DMART)</v>
    <v>214778</v>
    <v>677410</v>
    <v>2000</v>
  </rv>
  <rv s="1">
    <v>21</v>
  </rv>
  <rv s="2">
    <v>https://www.bing.com/financeapi/forcetrigger?t=ahh2gh&amp;q=XNSE%3aAXISBANK&amp;form=skydnc</v>
    <v>Learn more on Bing</v>
  </rv>
  <rv s="3">
    <v>5</v>
    <v>AXIS BANK LIMITED (XNSE:AXISBANK)</v>
    <v>6</v>
    <v>7</v>
    <v>Finance</v>
    <v>8</v>
    <v>en-GB</v>
    <v>ahh2gh</v>
    <v>268435456</v>
    <v>1</v>
    <v>Powered by Refinitiv</v>
    <v>1418.3</v>
    <v>1042.5</v>
    <v>1.2354000000000001</v>
    <v>-3.7</v>
    <v>-2.702E-3</v>
    <v>INR</v>
    <v>Axis Bank Limited (the Bank) is a private sector bank. The Bank’s segments include Treasury, Retail Banking, Corporate/Wholesale Banking and Other Banking Business. Treasury operations include investments in sovereign and corporate debt, equity and mutual funds, trading operations, derivative trading and foreign exchange operations on the proprietary account and for customers. Retail Banking constitutes lending activities, along with liability products, card services, Internet banking, mobile banking, automated teller machine (ATM) services, depository, financial advisory services and non-resident Indian (NRI) services. Corporate/Wholesale Banking includes corporate relationships, advisory services, placements and syndication, project appraisals, capital market related services and cash management services. The other Banking Business includes para banking activities like third party product distribution and other banking transactions not covered under any of the above three segments.</v>
    <v>104453</v>
    <v>National Stock Exchange of India</v>
    <v>XNSE</v>
    <v>XNSE</v>
    <v>Axis House, C-2 Wadia International Centre, Pandurang Budhkar Marg, Worli, MUMBAI, MAHARASHTRA, 400025 IN</v>
    <v>1375</v>
    <v>Banking Services</v>
    <v>Stock</v>
    <v>46136.468113425923</v>
    <v>23</v>
    <v>1350</v>
    <v>3918788000000</v>
    <v>AXIS BANK LIMITED</v>
    <v>AXIS BANK LIMITED</v>
    <v>1369</v>
    <v>16.125399999999999</v>
    <v>1369.6</v>
    <v>1365.9</v>
    <v>3108566000</v>
    <v>AXISBANK</v>
    <v>AXIS BANK LIMITED (XNSE:AXISBANK)</v>
    <v>3648313</v>
    <v>6589900</v>
    <v>1993</v>
  </rv>
  <rv s="1">
    <v>24</v>
  </rv>
  <rv s="2">
    <v>https://www.bing.com/financeapi/forcetrigger?t=azhlcw&amp;q=XNSE%3aBANDHANBNK&amp;form=skydnc</v>
    <v>Learn more on Bing</v>
  </rv>
  <rv s="3">
    <v>5</v>
    <v>BANDHAN BANK LIMITED (XNSE:BANDHANBNK)</v>
    <v>6</v>
    <v>7</v>
    <v>Finance</v>
    <v>8</v>
    <v>en-GB</v>
    <v>azhlcw</v>
    <v>268435456</v>
    <v>1</v>
    <v>Powered by Refinitiv</v>
    <v>192.48</v>
    <v>134.25</v>
    <v>0.98929999999999996</v>
    <v>0.77</v>
    <v>4.4280000000000005E-3</v>
    <v>INR</v>
    <v>Bandhan Bank Limited (the Bank) is an India-based banking company. Its segments include Treasury, Retail Banking, Corporate/Wholesale Banking, and Other Banking Business. The Treasury segment includes investments in sovereign securities and trading operations and also includes the central funding unit. The Retail Banking segment includes lending to individuals/small businesses through the branch network. It also includes liability products, card services, Internet banking, mobile banking, Automated Teller Machine (ATM) services, and Non-Resident Indian (NRI) services. The Other Banking Business segment includes para-banking activities, such as third-party product distribution and other banking transactions. The Bank offers various loans, such as Subriddhi, Suraksha, Sushiksha, Sahayata, Suyog, Bazaar, Small Enterprise Loan, and Micro Home. It also offers Saving Account, Demat and Trading, Recurring Deposit, Mutual Funds, and Bill Payment and Recharge services.</v>
    <v>75032</v>
    <v>National Stock Exchange of India</v>
    <v>XNSE</v>
    <v>XNSE</v>
    <v>Floors 12-14, Adventz Infinity@5, BN 5, Sector V, Salt Lake City, Kolkata, WEST BENGAL, 700091 IN</v>
    <v>175.08</v>
    <v>Banking Services</v>
    <v>Stock</v>
    <v>46136.468113425923</v>
    <v>26</v>
    <v>168.8</v>
    <v>230965000000</v>
    <v>BANDHAN BANK LIMITED</v>
    <v>BANDHAN BANK LIMITED</v>
    <v>173.81</v>
    <v>27.936</v>
    <v>173.9</v>
    <v>174.67</v>
    <v>1610979000</v>
    <v>BANDHANBNK</v>
    <v>BANDHAN BANK LIMITED (XNSE:BANDHANBNK)</v>
    <v>10835824</v>
    <v>9195330</v>
    <v>2014</v>
  </rv>
  <rv s="1">
    <v>27</v>
  </rv>
  <rv s="2">
    <v>https://www.bing.com/financeapi/forcetrigger?t=ahh4nm&amp;q=XNSE%3aBANKBARODA&amp;form=skydnc</v>
    <v>Learn more on Bing</v>
  </rv>
  <rv s="3">
    <v>5</v>
    <v>THE BANK OF BARODA LIMITED (XNSE:BANKBARODA)</v>
    <v>6</v>
    <v>7</v>
    <v>Finance</v>
    <v>8</v>
    <v>en-GB</v>
    <v>ahh4nm</v>
    <v>268435456</v>
    <v>1</v>
    <v>Powered by Refinitiv</v>
    <v>325.5</v>
    <v>212.55</v>
    <v>1.3191999999999999</v>
    <v>-2.21</v>
    <v>-7.9969999999999989E-3</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C 26, G BLOCK, BARODA CORPORATE CENTER BANDRA KURLA COMPLEX, BANDRA EAST, MAHARASHTRA, 400051 IN</v>
    <v>276.8</v>
    <v>Banking Services</v>
    <v>Stock</v>
    <v>46136.468113425923</v>
    <v>29</v>
    <v>269.55</v>
    <v>1560976000000</v>
    <v>THE BANK OF BARODA LIMITED</v>
    <v>THE BANK OF BARODA LIMITED</v>
    <v>276.2</v>
    <v>7.2809999999999997</v>
    <v>276.33999999999997</v>
    <v>274.13</v>
    <v>5171362000</v>
    <v>BANKBARODA</v>
    <v>THE BANK OF BARODA LIMITED (XNSE:BANKBARODA)</v>
    <v>7797230</v>
    <v>10824870</v>
    <v>1911</v>
  </rv>
  <rv s="1">
    <v>30</v>
  </rv>
  <rv s="2">
    <v>https://www.bing.com/financeapi/forcetrigger?t=ahh4tc&amp;q=XNSE%3aBANKINDIA&amp;form=skydnc</v>
    <v>Learn more on Bing</v>
  </rv>
  <rv s="3">
    <v>5</v>
    <v>BANK OF INDIA LIMITED (XNSE:BANKINDIA)</v>
    <v>6</v>
    <v>7</v>
    <v>Finance</v>
    <v>8</v>
    <v>en-GB</v>
    <v>ahh4tc</v>
    <v>268435456</v>
    <v>1</v>
    <v>Powered by Refinitiv</v>
    <v>178.36</v>
    <v>104.2</v>
    <v>1.2143999999999999</v>
    <v>-3.42</v>
    <v>-2.2669999999999999E-2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C-5 STAR HOUSE G BLOCK BANDRA KURLA COMPLEX, BANDRA (EAST), MAHARASHTRA, 400051 IN</v>
    <v>151.46</v>
    <v>Banking Services</v>
    <v>Stock</v>
    <v>46136.468113425923</v>
    <v>32</v>
    <v>145.78</v>
    <v>671791700000</v>
    <v>BANK OF INDIA LIMITED</v>
    <v>BANK OF INDIA LIMITED</v>
    <v>150.75</v>
    <v>6.8346</v>
    <v>150.86000000000001</v>
    <v>147.44</v>
    <v>4552668000</v>
    <v>BANKINDIA</v>
    <v>BANK OF INDIA LIMITED (XNSE:BANKINDIA)</v>
    <v>13803000</v>
    <v>11075300</v>
    <v>1906</v>
  </rv>
  <rv s="1">
    <v>33</v>
  </rv>
  <rv s="2">
    <v>https://www.bing.com/financeapi/forcetrigger?t=ahh5pr&amp;q=XNSE%3aBEL&amp;form=skydnc</v>
    <v>Learn more on Bing</v>
  </rv>
  <rv s="3">
    <v>5</v>
    <v>BHARAT ELECTRONICS LIMITED (XNSE:BEL)</v>
    <v>6</v>
    <v>7</v>
    <v>Finance</v>
    <v>8</v>
    <v>en-GB</v>
    <v>ahh5pr</v>
    <v>268435456</v>
    <v>1</v>
    <v>Powered by Refinitiv</v>
    <v>473.45</v>
    <v>293.7</v>
    <v>1.1311</v>
    <v>-5.5</v>
    <v>-1.2223999999999999E-2</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451.2</v>
    <v>Aerospace &amp; Defense</v>
    <v>Stock</v>
    <v>46136.468113425923</v>
    <v>35</v>
    <v>438.75</v>
    <v>3024056000000</v>
    <v>BHARAT ELECTRONICS LIMITED</v>
    <v>BHARAT ELECTRONICS LIMITED</v>
    <v>450</v>
    <v>54.467599999999997</v>
    <v>449.95</v>
    <v>444.45</v>
    <v>7309779000</v>
    <v>BEL</v>
    <v>BHARAT ELECTRONICS LIMITED (XNSE:BEL)</v>
    <v>11651499</v>
    <v>13713980</v>
    <v>1954</v>
  </rv>
  <rv s="1">
    <v>36</v>
  </rv>
  <rv s="2">
    <v>https://www.bing.com/financeapi/forcetrigger?t=ahh7a2&amp;q=XNSE%3aBHARTIARTL&amp;form=skydnc</v>
    <v>Learn more on Bing</v>
  </rv>
  <rv s="3">
    <v>5</v>
    <v>BHARTI AIRTEL LIMITED (XNSE:BHARTIARTL)</v>
    <v>6</v>
    <v>7</v>
    <v>Finance</v>
    <v>8</v>
    <v>en-GB</v>
    <v>ahh7a2</v>
    <v>268435456</v>
    <v>1</v>
    <v>Powered by Refinitiv</v>
    <v>2174.5</v>
    <v>1746.9</v>
    <v>0.77200000000000002</v>
    <v>-26.7</v>
    <v>-1.4501E-2</v>
    <v>INR</v>
    <v>Bharti Airtel Limited is a telecommunication company. It operates through two business divisions: India &amp; South Asia and Africa. Its B2C Services consists of Mobile Services (India), Homes Services, and Digital TV Services. Its B2B Services consists of Airtel Business, Passive Infrastructure Services and South Asia. Its Mobile Services (India) segment offers postpaid, pre-paid, roaming, Internet and other value-added services. Its Homes Services segment provides fixed-line telephone and broadband services for homes in approximately 1,512 cities. Its Digital TV Services provides direct-to-home platform, which offers a total of 709 channels including 99 HD channels, 67 SVOD services, four international channels and five interactive services. Its Airtel Business segment offers fixed-line voice (PRIs), data and other connectivity solutions, such as Multi-Protocol Label Switching, Voice over Internet Protocol, SIP trucking. Its South Asia segment represents its operation in Bangladesh.</v>
    <v>28567</v>
    <v>National Stock Exchange of India</v>
    <v>XNSE</v>
    <v>XNSE</v>
    <v>Bharti Crescent 1 Nelson Mandela Road, Vasant Kunj, Phase II, NEW DELHI, DELHI, 110070 IN</v>
    <v>1850.7</v>
    <v>Telecommunications Services</v>
    <v>Stock</v>
    <v>46136.468124999999</v>
    <v>38</v>
    <v>1807.3</v>
    <v>12184380000000</v>
    <v>BHARTI AIRTEL LIMITED</v>
    <v>BHARTI AIRTEL LIMITED</v>
    <v>1845</v>
    <v>34.600499999999997</v>
    <v>1841.2</v>
    <v>1814.5</v>
    <v>6091897000</v>
    <v>BHARTIARTL</v>
    <v>BHARTI AIRTEL LIMITED (XNSE:BHARTIARTL)</v>
    <v>6306448</v>
    <v>9761180</v>
    <v>1995</v>
  </rv>
  <rv s="1">
    <v>39</v>
  </rv>
  <rv s="4">
    <v>9</v>
    <v>BILLIONBRAINS GARAGE VENTURES LIMITED (XNSE:GROWW)</v>
    <v>2</v>
    <v>7</v>
    <v>Finance</v>
    <v>8</v>
    <v>en-GB</v>
    <v>cio5vh</v>
    <v>268435456</v>
    <v>1</v>
    <v>Powered by Refinitiv</v>
    <v>223.7</v>
    <v>112</v>
    <v>1.415</v>
    <v>0.28999999999999998</v>
    <v>1.3320000000000001E-3</v>
    <v>INR</v>
    <v>Billionbrains Garage Ventures Ltd is an India-based company, which operates a direct-to-customer digital investment platform that provides wealth creation opportunities to customers through multiple financial products and services. Through its platform Groww, customers can invest and trade in stocks (including via IPOs), derivatives, bonds, mutual funds (including Groww Mutual Fund) and other products. They can also avail a margin trading facility (MTF) and personal loans. Using the Groww app or Website, customers can access tools, information and market insights across its products and services and build their investment and trading strategies. It provides customers with a friendly design and deploys an in-house technology platform to enhance the investing experience. It offers types of credit products through the Groww Credit mobile app and loans against securities. Its MTF product allows customers to buy stocks approved by exchanges by paying only a part of the total value.</v>
    <v>1415</v>
    <v>National Stock Exchange of India</v>
    <v>XNSE</v>
    <v>XNSE</v>
    <v>Vaishnavi Tech Park, South Tower, 4 th Floor, Survey No .16 / 1 and 17 / 2, Ambalipura Village, Varthur Hobli, Bellandur, BANGALORE, KARNATAKA, 560103 IN</v>
    <v>223.7</v>
    <v>Financial Technology (Fintech) &amp; Infrastructure</v>
    <v>Stock</v>
    <v>46136.468206018515</v>
    <v>214.6</v>
    <v>1004382000000</v>
    <v>BILLIONBRAINS GARAGE VENTURES LIMITED</v>
    <v>BILLIONBRAINS GARAGE VENTURES LIMITED</v>
    <v>218</v>
    <v>64.571700000000007</v>
    <v>217.73</v>
    <v>218.02</v>
    <v>6191577000</v>
    <v>GROWW</v>
    <v>BILLIONBRAINS GARAGE VENTURES LIMITED (XNSE:GROWW)</v>
    <v>62095253</v>
    <v>99660050</v>
    <v>2018</v>
  </rv>
  <rv s="1">
    <v>41</v>
  </rv>
  <rv s="2">
    <v>http://en.wikipedia.org/wiki/Public_domain</v>
    <v>Public domain</v>
  </rv>
  <rv s="2">
    <v>http://en.wikipedia.org/wiki/Canara_Bank</v>
    <v>Wikipedia</v>
  </rv>
  <rv s="5">
    <v>43</v>
    <v>44</v>
  </rv>
  <rv s="6">
    <v>14</v>
    <v>https://www.bing.com/th?id=AMMS_c85087fd4a4a5af8fc014bd99fcebd02&amp;qlt=95</v>
    <v>45</v>
    <v>0</v>
    <v>https://www.bing.com/images/search?form=xlimg&amp;q=canara+bank</v>
    <v>Image of THE CANARA BANK LIMITED</v>
  </rv>
  <rv s="2">
    <v>https://www.bing.com/financeapi/forcetrigger?t=ahhb77&amp;q=XNSE%3aCANBK&amp;form=skydnc</v>
    <v>Learn more on Bing</v>
  </rv>
  <rv s="7">
    <v>10</v>
    <v>THE CANARA BANK LIMITED (XNSE:CANBK)</v>
    <v>12</v>
    <v>13</v>
    <v>Finance</v>
    <v>8</v>
    <v>en-GB</v>
    <v>ahhb77</v>
    <v>268435456</v>
    <v>1</v>
    <v>Powered by Refinitiv</v>
    <v>162.88999999999999</v>
    <v>90.95</v>
    <v>1.6252</v>
    <v>-0.02</v>
    <v>-1.4200000000000001E-4</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81260</v>
    <v>National Stock Exchange of India</v>
    <v>XNSE</v>
    <v>XNSE</v>
    <v>CANARA BANK, 112, JAYACHAMARAJENDRA ROAD, POST BOX NO.6648, KARNATAKA, 560002 IN</v>
    <v>141.86000000000001</v>
    <v>46</v>
    <v>Banking Services</v>
    <v>Stock</v>
    <v>46136.468124999999</v>
    <v>47</v>
    <v>138.15</v>
    <v>1368399000000</v>
    <v>THE CANARA BANK LIMITED</v>
    <v>THE CANARA BANK LIMITED</v>
    <v>141.33000000000001</v>
    <v>6.3258999999999999</v>
    <v>140.87</v>
    <v>140.85</v>
    <v>9070651000</v>
    <v>CANBK</v>
    <v>THE CANARA BANK LIMITED (XNSE:CANBK)</v>
    <v>18904603</v>
    <v>21648940</v>
    <v>1906</v>
  </rv>
  <rv s="1">
    <v>48</v>
  </rv>
  <rv s="2">
    <v>https://www.bing.com/financeapi/forcetrigger?t=ahhboc&amp;q=XNSE%3aCAPLIPOINT&amp;form=skydnc</v>
    <v>Learn more on Bing</v>
  </rv>
  <rv s="3">
    <v>5</v>
    <v>CAPLIN POINT LABORATORIES LIMITED (XNSE:CAPLIPOINT)</v>
    <v>6</v>
    <v>7</v>
    <v>Finance</v>
    <v>8</v>
    <v>en-GB</v>
    <v>ahhboc</v>
    <v>268435456</v>
    <v>1</v>
    <v>Powered by Refinitiv</v>
    <v>2395</v>
    <v>1500.3</v>
    <v>0.97840000000000005</v>
    <v>-48.5</v>
    <v>-2.7431999999999998E-2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1783</v>
    <v>Pharmaceuticals</v>
    <v>Stock</v>
    <v>46136.468113425923</v>
    <v>50</v>
    <v>1715</v>
    <v>137740800000</v>
    <v>CAPLIN POINT LABORATORIES LIMITED</v>
    <v>CAPLIN POINT LABORATORIES LIMITED</v>
    <v>1777.5</v>
    <v>21.299600000000002</v>
    <v>1768</v>
    <v>1719.5</v>
    <v>76011700</v>
    <v>CAPLIPOINT</v>
    <v>CAPLIN POINT LABORATORIES LIMITED (XNSE:CAPLIPOINT)</v>
    <v>71492</v>
    <v>104860</v>
    <v>1990</v>
  </rv>
  <rv s="1">
    <v>51</v>
  </rv>
  <rv s="2">
    <v>https://www.bing.com/financeapi/forcetrigger?t=ahhc6h&amp;q=XNSE%3aCASTROLIND&amp;form=skydnc</v>
    <v>Learn more on Bing</v>
  </rv>
  <rv s="3">
    <v>5</v>
    <v>CASTROL INDIA LIMITED (XNSE:CASTROLIND)</v>
    <v>6</v>
    <v>7</v>
    <v>Finance</v>
    <v>8</v>
    <v>en-GB</v>
    <v>ahhc6h</v>
    <v>268435456</v>
    <v>1</v>
    <v>Powered by Refinitiv</v>
    <v>232.43</v>
    <v>170.1</v>
    <v>0.85040000000000004</v>
    <v>-1.06</v>
    <v>-5.7660000000000003E-3</v>
    <v>INR</v>
    <v>Castrol India Limited is an India-based lubricant company. The Company is engaged in manufacturing and marketing of automotive and industrial lubricants and related services. The Company's brands include Castrol CRB, Castrol GTX, Castrol Activ, Castrol POWER1, Castrol MAGNATEC and Castrol VECTON, Castrol EDGE, Castrol Go!, Castrol On and Castrol RX. The Company also operates in high performance lubricants and metalworking fluids used in a variety of industries, such as automotive manufacturing, mining, machinery and wind energy. Its services include Castrol Pitshop and Castrol Bike Point. Its commercial vehicle products include engine oils, transmission fluids, coolants, greases, diesel exhaust fluid (DEF) and hydraulic fluids. It produces a range of advanced electric vehicle (EV) transmission fluids, thermal fluids and EV greases. It has a manufacturing and distribution network with around three blending plants and a distribution network of 350 distributors and 100,000 retail outlets.</v>
    <v>627</v>
    <v>National Stock Exchange of India</v>
    <v>XNSE</v>
    <v>XNSE</v>
    <v>TECHNOPOLIS KNOWLEDGE PARK, MAHAKALI CAVES ROAD,, CHAKALA, ANDHERI (EAST), MAHARASHTRA, 400093 IN</v>
    <v>185.21</v>
    <v>Oil &amp; Gas</v>
    <v>Stock</v>
    <v>46136.468113425923</v>
    <v>53</v>
    <v>182.5</v>
    <v>185430800000</v>
    <v>CASTROL INDIA LIMITED</v>
    <v>CASTROL INDIA LIMITED</v>
    <v>183.95</v>
    <v>19.033100000000001</v>
    <v>183.85</v>
    <v>182.79</v>
    <v>989122400</v>
    <v>CASTROLIND</v>
    <v>CASTROL INDIA LIMITED (XNSE:CASTROLIND)</v>
    <v>943394</v>
    <v>1552300</v>
    <v>1979</v>
  </rv>
  <rv s="1">
    <v>54</v>
  </rv>
  <rv s="2">
    <v>https://www.bing.com/financeapi/forcetrigger?t=ahhchw&amp;q=XNSE%3aCEATLTD&amp;form=skydnc</v>
    <v>Learn more on Bing</v>
  </rv>
  <rv s="3">
    <v>5</v>
    <v>CEAT LIMITED (XNSE:CEATLTD)</v>
    <v>6</v>
    <v>7</v>
    <v>Finance</v>
    <v>8</v>
    <v>en-GB</v>
    <v>ahhchw</v>
    <v>268435456</v>
    <v>1</v>
    <v>Powered by Refinitiv</v>
    <v>4438</v>
    <v>2984.5</v>
    <v>1.4759</v>
    <v>-230.4</v>
    <v>-6.2159000000000006E-2</v>
    <v>INR</v>
    <v>CEAT Limited is an India-based tire company. The Company’s principal business is the manufacturing of automotive tires, tubes and flaps. The Company manufactures tires for a broad range of vehicles, including passenger cars, two-wheelers, trucks and buses, light commercial and off-highway tires. The Company's tire categories include car, bike, scooter tires, and commercial tires. It offers tires for various cars such as Maruti Alto, Maruti Alto K10, Maruti Swift, Maruti Swift Dzire and Maruti Wagon R. It offers tires for various bikes such as Hero Splendor, Hero Passion, Honda Shine, Honda Dream, Honda Unicorn, TVS Apache, Yamaha FZ, Royal Enfield, Bajaj CT 100/110, Bajaj KTM 200, Bajaj Platina and Bajaj Dominar. It offers tires for various scooters, such as Honda Activa, Suzuki Access, TVS Jupiter, Hero Destini, and Hero Duet. The Company’s CAMSO’s brand expertise in compact construction equipment tracks and tires.</v>
    <v>9428</v>
    <v>National Stock Exchange of India</v>
    <v>XNSE</v>
    <v>XNSE</v>
    <v>463 DR ANNIE BESANT ROAD, WORLI, MAHARASHTRA, 400030 IN</v>
    <v>3706.3</v>
    <v>Automobiles &amp; Auto Parts</v>
    <v>Stock</v>
    <v>46136.468136574076</v>
    <v>56</v>
    <v>3465</v>
    <v>155586700000</v>
    <v>CEAT LIMITED</v>
    <v>CEAT LIMITED</v>
    <v>3706.1</v>
    <v>25.380199999999999</v>
    <v>3706.6</v>
    <v>3476.2</v>
    <v>40341520</v>
    <v>CEATLTD</v>
    <v>CEAT LIMITED (XNSE:CEATLTD)</v>
    <v>148997</v>
    <v>96790</v>
    <v>1958</v>
  </rv>
  <rv s="1">
    <v>57</v>
  </rv>
  <rv s="2">
    <v>https://www.bing.com/financeapi/forcetrigger?t=ahherw&amp;q=XNSE%3aCOALINDIA&amp;form=skydnc</v>
    <v>Learn more on Bing</v>
  </rv>
  <rv s="3">
    <v>5</v>
    <v>COAL INDIA LTD (XNSE:COALINDIA)</v>
    <v>6</v>
    <v>7</v>
    <v>Finance</v>
    <v>8</v>
    <v>en-GB</v>
    <v>ahherw</v>
    <v>268435456</v>
    <v>1</v>
    <v>Powered by Refinitiv</v>
    <v>476</v>
    <v>368.65</v>
    <v>0.60270000000000001</v>
    <v>5.35</v>
    <v>1.1872000000000001E-2</v>
    <v>INR</v>
    <v>Coal India Ltd.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 has over 21 training Institutes and 76 Vocational Training Centers. The Company operates the Indian Institute of Coal Management (IICM), which is a corporate training institute in India. IICM conducts multi-disciplinary programs.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462</v>
    <v>Coal</v>
    <v>Stock</v>
    <v>46136.468148148146</v>
    <v>59</v>
    <v>451.05</v>
    <v>2643194000000</v>
    <v>COAL INDIA LTD</v>
    <v>COAL INDIA LTD</v>
    <v>452.75</v>
    <v>9.4108999999999998</v>
    <v>450.65</v>
    <v>456</v>
    <v>6162729000</v>
    <v>COALINDIA</v>
    <v>COAL INDIA LTD (XNSE:COALINDIA)</v>
    <v>16441909</v>
    <v>13150860</v>
    <v>1973</v>
  </rv>
  <rv s="1">
    <v>60</v>
  </rv>
  <rv s="2">
    <v>https://www.bing.com/financeapi/forcetrigger?t=ahhf1h&amp;q=XNSE%3aCOLPAL&amp;form=skydnc</v>
    <v>Learn more on Bing</v>
  </rv>
  <rv s="3">
    <v>5</v>
    <v>COLGATE-PALMOLIVE (INDIA) LIMITED (XNSE:COLPAL)</v>
    <v>6</v>
    <v>7</v>
    <v>Finance</v>
    <v>8</v>
    <v>en-GB</v>
    <v>ahhf1h</v>
    <v>268435456</v>
    <v>1</v>
    <v>Powered by Refinitiv</v>
    <v>2747.4</v>
    <v>1782</v>
    <v>1.3068</v>
    <v>21.1</v>
    <v>9.8129999999999988E-3</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2177.8000000000002</v>
    <v>Personal &amp; Household Products &amp; Services</v>
    <v>Stock</v>
    <v>46136.468136574076</v>
    <v>62</v>
    <v>2139</v>
    <v>572992100000</v>
    <v>COLGATE-PALMOLIVE (INDIA) LIMITED</v>
    <v>COLGATE-PALMOLIVE (INDIA) LIMITED</v>
    <v>2150.1999999999998</v>
    <v>44.497</v>
    <v>2150.1999999999998</v>
    <v>2171.3000000000002</v>
    <v>271985600</v>
    <v>COLPAL</v>
    <v>COLGATE-PALMOLIVE (INDIA) LIMITED (XNSE:COLPAL)</v>
    <v>738058</v>
    <v>620780</v>
    <v>1937</v>
  </rv>
  <rv s="1">
    <v>63</v>
  </rv>
  <rv s="2">
    <v>https://www.bing.com/financeapi/forcetrigger?t=ahhgf2&amp;q=XNSE%3aCRISIL&amp;form=skydnc</v>
    <v>Learn more on Bing</v>
  </rv>
  <rv s="3">
    <v>5</v>
    <v>CRISIL Limited (XNSE:CRISIL)</v>
    <v>6</v>
    <v>7</v>
    <v>Finance</v>
    <v>8</v>
    <v>en-GB</v>
    <v>ahhgf2</v>
    <v>268435456</v>
    <v>1</v>
    <v>Powered by Refinitiv</v>
    <v>6139</v>
    <v>3686</v>
    <v>0.3881</v>
    <v>-84.5</v>
    <v>-1.9408000000000002E-2</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4384.8999999999996</v>
    <v>Professional &amp; Commercial Services</v>
    <v>Stock</v>
    <v>46136.468113425923</v>
    <v>65</v>
    <v>4261</v>
    <v>352164900000</v>
    <v>CRISIL Limited</v>
    <v>CRISIL Limited</v>
    <v>4366</v>
    <v>37.193100000000001</v>
    <v>4353.8999999999996</v>
    <v>4269.3999999999996</v>
    <v>73130020</v>
    <v>CRISIL</v>
    <v>CRISIL Limited (XNSE:CRISIL)</v>
    <v>42387</v>
    <v>129360</v>
    <v>1987</v>
  </rv>
  <rv s="1">
    <v>66</v>
  </rv>
  <rv s="2">
    <v>https://www.bing.com/financeapi/forcetrigger?t=ahhh2w&amp;q=XNSE%3aCUPID&amp;form=skydnc</v>
    <v>Learn more on Bing</v>
  </rv>
  <rv s="3">
    <v>5</v>
    <v>CUPID LIMITED (XNSE:CUPID)</v>
    <v>6</v>
    <v>7</v>
    <v>Finance</v>
    <v>8</v>
    <v>en-GB</v>
    <v>ahhh2w</v>
    <v>268435456</v>
    <v>1</v>
    <v>Powered by Refinitiv</v>
    <v>115.85</v>
    <v>14.22</v>
    <v>0.45440000000000003</v>
    <v>-0.04</v>
    <v>-3.5360000000000003E-4</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A-68, MIDC (Malegaon), Sinnar, MUMBAI, MAHARASHTRA, 422113 IN</v>
    <v>115.85</v>
    <v>Personal &amp; Household Products &amp; Services</v>
    <v>Stock</v>
    <v>46136.468148148146</v>
    <v>68</v>
    <v>111</v>
    <v>117816800000</v>
    <v>CUPID LIMITED</v>
    <v>CUPID LIMITED</v>
    <v>114</v>
    <v>181.87520000000001</v>
    <v>113.13</v>
    <v>113.09</v>
    <v>1344661000</v>
    <v>CUPID</v>
    <v>CUPID LIMITED (XNSE:CUPID)</v>
    <v>10252836</v>
    <v>22728750</v>
    <v>1993</v>
  </rv>
  <rv s="1">
    <v>69</v>
  </rv>
  <rv s="2">
    <v>https://www.bing.com/financeapi/forcetrigger?t=ahhhk2&amp;q=XNSE%3aDABUR&amp;form=skydnc</v>
    <v>Learn more on Bing</v>
  </rv>
  <rv s="3">
    <v>5</v>
    <v>DABUR INDIA LIMITED (XNSE:DABUR)</v>
    <v>6</v>
    <v>7</v>
    <v>Finance</v>
    <v>8</v>
    <v>en-GB</v>
    <v>ahhhk2</v>
    <v>268435456</v>
    <v>1</v>
    <v>Powered by Refinitiv</v>
    <v>577</v>
    <v>403.35</v>
    <v>0.86350000000000005</v>
    <v>-8.9</v>
    <v>-1.9348000000000001E-2</v>
    <v>INR</v>
    <v>Dabur India Limited is a fast-moving consumer goods (FMCG) company. Its segments include Consumer care business, Food business, and Other segments. Its Consumer care business segment includes home care, personal care, and health care. Its Food business segment includes juices, beverages, and culinary. Its Other segments include Guar gum, pharma and others. Its product categories include hair care, oral care, health care, skin care, home care, energizers, cold and cough, digestives, and ethicals. Its health supplements portfolio includes Dabur Chyawanprash, Dabur Honey, Dabur Giloy Neem Juice with Tulsi, and others. Its oral care portfolio includes Dabur Red Paste, Dabur Meswak, Dabur Babool, and Dabur Herb'l. Its foods portfolio includes Real Fruit Power Juices, Real Activ 100% Juices, Hommade, and Real Milkshakes. Its skin care portfolio includes Fem, Oxylife, and Gulabari. Its ethicals portfolio includes Ashokarishta, Dashmularishta, Lavanbhaskar Churna, and Dabur Shwaasamrit.</v>
    <v>5343</v>
    <v>National Stock Exchange of India</v>
    <v>XNSE</v>
    <v>XNSE</v>
    <v>Dabur Corporate Office, Kaushambi, Sahibabad, GHAZIABAD, UTTAR PRADESH, 201010 IN</v>
    <v>462.5</v>
    <v>Personal &amp; Household Products &amp; Services</v>
    <v>Stock</v>
    <v>46136.468113425923</v>
    <v>71</v>
    <v>448.1</v>
    <v>925954900000</v>
    <v>DABUR INDIA LIMITED</v>
    <v>DABUR INDIA LIMITED</v>
    <v>460</v>
    <v>43.3142</v>
    <v>460</v>
    <v>451.1</v>
    <v>1773690000</v>
    <v>DABUR</v>
    <v>DABUR INDIA LIMITED (XNSE:DABUR)</v>
    <v>1509926</v>
    <v>2660180</v>
    <v>1975</v>
  </rv>
  <rv s="1">
    <v>72</v>
  </rv>
  <rv s="2">
    <v>https://www.bing.com/financeapi/forcetrigger?t=c4o2nm&amp;q=XNSE%3aDATAPATTNS&amp;form=skydnc</v>
    <v>Learn more on Bing</v>
  </rv>
  <rv s="3">
    <v>5</v>
    <v>DATA PATTERNS (INDIA) LIMITED (XNSE:DATAPATTNS)</v>
    <v>6</v>
    <v>7</v>
    <v>Finance</v>
    <v>8</v>
    <v>en-GB</v>
    <v>c4o2nm</v>
    <v>268435456</v>
    <v>1</v>
    <v>Powered by Refinitiv</v>
    <v>4189.8999999999996</v>
    <v>1903.6</v>
    <v>1.7291000000000001</v>
    <v>-57.4</v>
    <v>-1.3880999999999999E-2</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4147</v>
    <v>Aerospace &amp; Defense</v>
    <v>Stock</v>
    <v>46136.468124999999</v>
    <v>74</v>
    <v>3868</v>
    <v>145082500000</v>
    <v>DATA PATTERNS (INDIA) LIMITED</v>
    <v>DATA PATTERNS (INDIA) LIMITED</v>
    <v>4135</v>
    <v>92.366799999999998</v>
    <v>4135.1000000000004</v>
    <v>4077.7</v>
    <v>55983970</v>
    <v>DATAPATTNS</v>
    <v>DATA PATTERNS (INDIA) LIMITED (XNSE:DATAPATTNS)</v>
    <v>3153381</v>
    <v>1779100</v>
    <v>1998</v>
  </rv>
  <rv s="1">
    <v>75</v>
  </rv>
  <rv s="2">
    <v>https://www.bing.com/financeapi/forcetrigger?t=bpitzr&amp;q=XBOM%3a542543&amp;form=skydnc</v>
    <v>Learn more on Bing</v>
  </rv>
  <rv s="8">
    <v>15</v>
    <v>INDIA INFRASTRUCTURE TRUST UNT (XBOM:542543)</v>
    <v>16</v>
    <v>17</v>
    <v>Finance</v>
    <v>4</v>
    <v>en-GB</v>
    <v>bpitzr</v>
    <v>268435456</v>
    <v>1</v>
    <v>Powered by Refinitiv</v>
    <v>102</v>
    <v>75</v>
    <v>0.06</v>
    <v>7.7990000000000004E-4</v>
    <v>0.1</v>
    <v>1.3009999999999999E-3</v>
    <v>INR</v>
    <v>Bombay Stock Exchange</v>
    <v>XBOM</v>
    <v>77.25</v>
    <v>ETF</v>
    <v>46136.438391203701</v>
    <v>77</v>
    <v>76.599999999999994</v>
    <v>INDIA INFRASTRUCTURE TRUST UNT</v>
    <v>77.25</v>
    <v>76.930000000000007</v>
    <v>76.989999999999995</v>
    <v>76.989999999999995</v>
    <v>542543</v>
    <v>INDIA INFRASTRUCTURE TRUST UNT (XBOM:542543)</v>
    <v>650000</v>
  </rv>
  <rv s="1">
    <v>78</v>
  </rv>
  <rv s="9">
    <v>18</v>
    <v>EPACK PREFAB TECHNOLOGIES LIMITED (XNSE:EPACKPEB)</v>
    <v>2</v>
    <v>19</v>
    <v>Finance</v>
    <v>8</v>
    <v>en-GB</v>
    <v>ciauhw</v>
    <v>268435456</v>
    <v>1</v>
    <v>Powered by Refinitiv</v>
    <v>344</v>
    <v>132.16999999999999</v>
    <v>-5.82</v>
    <v>-3.0775999999999998E-2</v>
    <v>INR</v>
    <v>Epack Prefab Technologies Limited is an India-based company. The Company is engaged in two business verticals in Pre-Fab Business which provides complete solutions to customers which includes designing, manufacturing, installation and erection of pre-engineered steel buildings, pre-fabricated structures and its components in India and overseas, and other business vertical is manufacturing of expanded polystyrene sheets and blocks for various industries such as construction, packaging, and consumer goods in India. Its products and services include Pre-Engineered Buildings, Prefabricated Structures, Light Gauge Steel Framing, Sandwich Panels, Standard Modular Solutions, and Engineering, Procurement, and Construction (EPC) solutions. Its sectors include industrial buildings construction, construction sector, infrastructure sector, institutional sector, sports &amp; leisure, and special buildings. Its projects include Pre Engineered Building and Prefab Building.</v>
    <v>2371</v>
    <v>National Stock Exchange of India</v>
    <v>XNSE</v>
    <v>XNSE</v>
    <v>B-13, Ecotech 1st Ext., Distt - Gautam Budh Nagar, GREATER NOIDA, UTTAR PRADESH, 201308 IN</v>
    <v>192.73</v>
    <v>Construction &amp; Engineering</v>
    <v>Stock</v>
    <v>46136.468206018515</v>
    <v>182.11</v>
    <v>25077840000</v>
    <v>EPACK PREFAB TECHNOLOGIES LIMITED</v>
    <v>EPACK PREFAB TECHNOLOGIES LIMITED</v>
    <v>188</v>
    <v>23.849699999999999</v>
    <v>189.11</v>
    <v>183.29</v>
    <v>100615300</v>
    <v>EPACKPEB</v>
    <v>EPACK PREFAB TECHNOLOGIES LIMITED (XNSE:EPACKPEB)</v>
    <v>453501</v>
    <v>606880</v>
    <v>1999</v>
  </rv>
  <rv s="1">
    <v>80</v>
  </rv>
  <rv s="2">
    <v>https://www.bing.com/financeapi/forcetrigger?t=bq37bh&amp;q=XBOM%3a542668&amp;form=skydnc</v>
    <v>Learn more on Bing</v>
  </rv>
  <rv s="10">
    <v>20</v>
    <v>EVANS ELECTRIC LIMITED (XBOM:542668)</v>
    <v>6</v>
    <v>21</v>
    <v>Finance</v>
    <v>4</v>
    <v>en-GB</v>
    <v>bq37bh</v>
    <v>268435456</v>
    <v>1</v>
    <v>Powered by Refinitiv</v>
    <v>249.55</v>
    <v>60</v>
    <v>1.4044000000000001</v>
    <v>2</v>
    <v>2.0407999999999999E-2</v>
    <v>0</v>
    <v>0</v>
    <v>INR</v>
    <v>Evans Electric Limited is an India-based industrial company. It is engaged in heavy electro-mechanical repairs. The Company's primary activity is the rendering of specialized technical services by way of processing, repairing, rewinding, converting, and redesigning of electrical equipment, including motors, generators, and transformers. It provides services that cover the entire spectrum of electro-mechanical equipment used in Industry from power generation to transmission and utilities. Its services consist of electro-mechanical repairs, rewinds, refurbishments, re-designs, diagnostics, solutions, and replacement component manufacture. It is engaged in advancing repair, refurbishment and support services to the power generation, distribution, manufacturing, and process industries. Its equipment range consists of power generator stators; low voltage, and high voltage electric motors and generators; dc motors and generators; VFD driven motors, and power and distribution transformers.</v>
    <v>12</v>
    <v>Bombay Stock Exchange</v>
    <v>XBOM</v>
    <v>XBOM</v>
    <v>430, 'A' Wing, 3rd Floor, Royal Palms Estate, Aarey Milk Colony,, Goregaon East, MUMBAI, MAHARASHTRA, 400065 IN</v>
    <v>100</v>
    <v>Professional &amp; Commercial Services</v>
    <v>Stock</v>
    <v>46136.438715277778</v>
    <v>82</v>
    <v>100</v>
    <v>653072000</v>
    <v>EVANS ELECTRIC LIMITED</v>
    <v>EVANS ELECTRIC LIMITED</v>
    <v>100</v>
    <v>4.0076000000000001</v>
    <v>98</v>
    <v>100</v>
    <v>100</v>
    <v>5488000</v>
    <v>542668</v>
    <v>EVANS ELECTRIC LIMITED (XBOM:542668)</v>
    <v>2000</v>
    <v>7600</v>
    <v>1951</v>
  </rv>
  <rv s="1">
    <v>83</v>
  </rv>
  <rv s="2">
    <v>https://www.bing.com/financeapi/forcetrigger?t=ahhr77&amp;q=XNSE%3aFEDERALBNK&amp;form=skydnc</v>
    <v>Learn more on Bing</v>
  </rv>
  <rv s="3">
    <v>5</v>
    <v>THE FEDERAL BANK LTD (XNSE:FEDERALBNK)</v>
    <v>6</v>
    <v>7</v>
    <v>Finance</v>
    <v>8</v>
    <v>en-GB</v>
    <v>ahhr77</v>
    <v>268435456</v>
    <v>1</v>
    <v>Powered by Refinitiv</v>
    <v>302</v>
    <v>183.15</v>
    <v>0.92410000000000003</v>
    <v>-2.4</v>
    <v>-8.1250000000000003E-3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298.3</v>
    <v>Banking Services</v>
    <v>Stock</v>
    <v>46136.468113425923</v>
    <v>85</v>
    <v>291.25</v>
    <v>613857500000</v>
    <v>THE FEDERAL BANK LTD</v>
    <v>THE FEDERAL BANK LTD</v>
    <v>296</v>
    <v>17.568100000000001</v>
    <v>295.39999999999998</v>
    <v>293</v>
    <v>2464535000</v>
    <v>FEDERALBNK</v>
    <v>THE FEDERAL BANK LTD (XNSE:FEDERALBNK)</v>
    <v>7243806</v>
    <v>8130880</v>
    <v>1931</v>
  </rv>
  <rv s="1">
    <v>86</v>
  </rv>
  <rv s="2">
    <v>https://www.bing.com/financeapi/forcetrigger?t=bra7ww&amp;q=XNSE%3aFORCEMOT&amp;form=skydnc</v>
    <v>Learn more on Bing</v>
  </rv>
  <rv s="3">
    <v>5</v>
    <v>FORCE MOTORS LIMITED (XNSE:FORCEMOT)</v>
    <v>6</v>
    <v>7</v>
    <v>Finance</v>
    <v>8</v>
    <v>en-GB</v>
    <v>bra7ww</v>
    <v>268435456</v>
    <v>1</v>
    <v>Powered by Refinitiv</v>
    <v>26450</v>
    <v>8710</v>
    <v>1.1127</v>
    <v>-403</v>
    <v>-1.9421999999999998E-2</v>
    <v>INR</v>
    <v>Force Motors Limited is an India-based fully vertically integrated automobile company. It is engaged in the design, development and manufacture of the full spectrum of automotive components, aggregates and vehicles. Its range of products includes light commercial vehicles, multi-utility vehicles, small commercial vehicles and special vehicles. Its commercial vehicles include Urbania, Traveler, Monobus, Trax and special applications. Its special vehicles include the Gurkha. It also offers an electric E-Traveller Smart Citibus EV. Its vehicle business provides a versatile range of solutions for passenger transport, cargo movement, emergency response, and specialized applications. It offers mission-specific solutions like Mobile Medical Units, Police Vans, Prison Vans, Troop Carriers, and Safari Vehicles, customized on the Traveler and Trax platforms for institutional and government use. Urbania is a premium, ground-up modular monocoque van platform designed for shared urban mobility.</v>
    <v>4640</v>
    <v>National Stock Exchange of India</v>
    <v>XNSE</v>
    <v>XNSE</v>
    <v>MUMBAI PUNE ROAD AKURDI, MAHARASHTRA, 411035 IN</v>
    <v>20928</v>
    <v>Automobiles &amp; Auto Parts</v>
    <v>Stock</v>
    <v>46136.468124999999</v>
    <v>88</v>
    <v>19955</v>
    <v>264777000000</v>
    <v>FORCE MOTORS LIMITED</v>
    <v>FORCE MOTORS LIMITED</v>
    <v>20750</v>
    <v>19.600200000000001</v>
    <v>20750</v>
    <v>20347</v>
    <v>13176260</v>
    <v>FORCEMOT</v>
    <v>FORCE MOTORS LIMITED (XNSE:FORCEMOT)</v>
    <v>134706</v>
    <v>130680</v>
    <v>1958</v>
  </rv>
  <rv s="1">
    <v>89</v>
  </rv>
  <rv s="2">
    <v>https://www.bing.com/financeapi/forcetrigger?t=ahhtk2&amp;q=XNSE%3aGANESHHOUC&amp;form=skydnc</v>
    <v>Learn more on Bing</v>
  </rv>
  <rv s="3">
    <v>5</v>
    <v>GANESH HOUSING LIMITED (XNSE:GANESHHOU)</v>
    <v>6</v>
    <v>7</v>
    <v>Finance</v>
    <v>8</v>
    <v>en-GB</v>
    <v>ahhtk2</v>
    <v>268435456</v>
    <v>1</v>
    <v>Powered by Refinitiv</v>
    <v>1169</v>
    <v>500</v>
    <v>1.3333999999999999</v>
    <v>4.2</v>
    <v>6.5559999999999993E-3</v>
    <v>INR</v>
    <v>Ganesh Housing Ltd, formerly Ganesh Housing Corp Ltd, is engaged in real estate promotion and development in residential and commercial segments and infrastructure projects. The Company has developed and sold over 22 million square feet (Sq ft) of real estate space, with another 35 million Sq ft under development. Its residential completed projects include Malabar Exotica, Malabar County III, Maple Tree Garden Homes, Malabar County II, Malabar County, Sundarvan Epitome, Maple County, Maple County II, Shangrila, Shangrila II, Satva, Suyojan, Ratnam, Maniratnam, Maniratnam II, Mahalaya, and Mahalaya - II. Its commercial completed projects include Maple Trade Center, Magnet Corporate Park, GCP Business Center. Its residential projects in Ahmedabad are equipped with security systems, including CCTV surveillance, secure parking facilities, and 24/7 manned security personnel. Its subsidiaries include Gatil Properties Private Limited and Madhukamal Infrastructure Private Limited.</v>
    <v>111</v>
    <v>National Stock Exchange of India</v>
    <v>XNSE</v>
    <v>XNSE</v>
    <v>100 FT. Hebatpur- Thaltej Road, Nr. Sola Bridge, Off. S.G. Highway, AHMEDABAD, GUJARAT, 380054 IN</v>
    <v>647.20000000000005</v>
    <v>Real Estate Operations</v>
    <v>Stock</v>
    <v>46136.468136574076</v>
    <v>91</v>
    <v>630</v>
    <v>63937050000</v>
    <v>GANESH HOUSING LIMITED</v>
    <v>GANESH HOUSING LIMITED</v>
    <v>642</v>
    <v>12.811400000000001</v>
    <v>640.6</v>
    <v>644.79999999999995</v>
    <v>83387090</v>
    <v>GANESHHOU</v>
    <v>GANESH HOUSING LIMITED (XNSE:GANESHHOU)</v>
    <v>33599</v>
    <v>67780</v>
    <v>1991</v>
  </rv>
  <rv s="1">
    <v>92</v>
  </rv>
  <rv s="2">
    <v>https://www.bing.com/financeapi/forcetrigger?t=ahhvcw&amp;q=XNSE%3aGILLETTE&amp;form=skydnc</v>
    <v>Learn more on Bing</v>
  </rv>
  <rv s="3">
    <v>5</v>
    <v>GILLETTE INDIA LIMITED (XNSE:GILLETTE)</v>
    <v>6</v>
    <v>7</v>
    <v>Finance</v>
    <v>8</v>
    <v>en-GB</v>
    <v>ahhvcw</v>
    <v>268435456</v>
    <v>1</v>
    <v>Powered by Refinitiv</v>
    <v>11422.04</v>
    <v>7206</v>
    <v>0.47060000000000002</v>
    <v>14.5</v>
    <v>1.794E-3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8181</v>
    <v>Personal &amp; Household Products &amp; Services</v>
    <v>Stock</v>
    <v>46136.468113425923</v>
    <v>94</v>
    <v>8060.5</v>
    <v>263744800000</v>
    <v>GILLETTE INDIA LIMITED</v>
    <v>GILLETTE INDIA LIMITED</v>
    <v>8091</v>
    <v>43.891199999999998</v>
    <v>8081</v>
    <v>8095.5</v>
    <v>32585220</v>
    <v>GILLETTE</v>
    <v>GILLETTE INDIA LIMITED (XNSE:GILLETTE)</v>
    <v>37127</v>
    <v>28300</v>
    <v>1984</v>
  </rv>
  <rv s="1">
    <v>95</v>
  </rv>
  <rv s="2">
    <v>https://www.bing.com/financeapi/forcetrigger?t=ahi3jc&amp;q=XNSE%3aHDFCBANK&amp;form=skydnc</v>
    <v>Learn more on Bing</v>
  </rv>
  <rv s="3">
    <v>5</v>
    <v>HDFC BANK LIMITED (XNSE:HDFCBANK)</v>
    <v>6</v>
    <v>7</v>
    <v>Finance</v>
    <v>8</v>
    <v>en-GB</v>
    <v>ahi3jc</v>
    <v>268435456</v>
    <v>1</v>
    <v>Powered by Refinitiv</v>
    <v>1020.5</v>
    <v>726.65</v>
    <v>1.0071000000000001</v>
    <v>0.5</v>
    <v>6.3750000000000005E-4</v>
    <v>INR</v>
    <v>HDFC Bank Limited (the Bank) is a private bank. The Bank, together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787.6</v>
    <v>Banking Services</v>
    <v>Stock</v>
    <v>46136.468113425923</v>
    <v>97</v>
    <v>777</v>
    <v>14420670000000</v>
    <v>HDFC BANK LIMITED</v>
    <v>HDFC BANK LIMITED</v>
    <v>777.3</v>
    <v>15.857200000000001</v>
    <v>784.35</v>
    <v>784.85</v>
    <v>15395040000</v>
    <v>HDFCBANK</v>
    <v>HDFC BANK LIMITED (XNSE:HDFCBANK)</v>
    <v>27720358</v>
    <v>46992780</v>
    <v>1994</v>
  </rv>
  <rv s="1">
    <v>98</v>
  </rv>
  <rv s="2">
    <v>https://www.bing.com/financeapi/forcetrigger?t=ahi62w&amp;q=XNSE%3aHINDUNILVR&amp;form=skydnc</v>
    <v>Learn more on Bing</v>
  </rv>
  <rv s="3">
    <v>5</v>
    <v>HINDUSTAN UNILEVER LIMITED (XNSE:HINDUNILVR)</v>
    <v>6</v>
    <v>7</v>
    <v>Finance</v>
    <v>8</v>
    <v>en-GB</v>
    <v>ahi62w</v>
    <v>268435456</v>
    <v>1</v>
    <v>Powered by Refinitiv</v>
    <v>2705.1</v>
    <v>2022.5</v>
    <v>0.87819999999999998</v>
    <v>-39.1</v>
    <v>-1.6522999999999999E-2</v>
    <v>INR</v>
    <v>Hindustan Unilever Limited is an India-based fast-moving consumer goods company. The Company's segments include Home Care, Beauty &amp; Wellbeing, Personal Care, Foods, and Others (includes Exports, Consignment, etc). Its product categories include skin cleansing, hair care, skin care and color cosmetics, oral care, deodorant and male toiletries, fabric care, household care, nutrition drinks, foods, and beverages. The Company has over 50 brands, including Acne - Squad, Active Wheel 2 in 1, Axe, Boost, Breeze, Brooke Bond 3 Roses, Brooke Bond Red Label, Brooke Bond Taaza, Clinic Plus, Closeup, Comfort, Dermalogica, Domex, Dove, Elle 18, Find Your Happy Place, Glow &amp; Handsome, Glow &amp; Lovely, Hamam, Horlicks, Horlicks Diabetes Plus, Lipton, and Minimalist. Lux is a global brand which offers beauty soaps, shower gels, bath additives, shampoos and others. ELLE 18 brand’s range of cosmetics includes eyeliner, kajal, lipstick, nail polish, compact and foundation.</v>
    <v>18802</v>
    <v>National Stock Exchange of India</v>
    <v>XNSE</v>
    <v>XNSE</v>
    <v>UNILEVER HOUSE, B D SAWANT MARG CHAKALA, MAHARASHTRA, 400099 IN</v>
    <v>2388.6</v>
    <v>Personal &amp; Household Products &amp; Services</v>
    <v>Stock</v>
    <v>46136.468113425923</v>
    <v>100</v>
    <v>2299</v>
    <v>5614349000000</v>
    <v>HINDUSTAN UNILEVER LIMITED</v>
    <v>HINDUSTAN UNILEVER LIMITED</v>
    <v>2388.6</v>
    <v>54.54</v>
    <v>2366.4</v>
    <v>2327.3000000000002</v>
    <v>2349591000</v>
    <v>HINDUNILVR</v>
    <v>HINDUSTAN UNILEVER LIMITED (XNSE:HINDUNILVR)</v>
    <v>1676706</v>
    <v>2895750</v>
    <v>1933</v>
  </rv>
  <rv s="1">
    <v>101</v>
  </rv>
  <rv s="4">
    <v>9</v>
    <v>HYUNDAI MOTOR INDIA LIMITED (XNSE:HYUNDAI)</v>
    <v>2</v>
    <v>7</v>
    <v>Finance</v>
    <v>8</v>
    <v>en-GB</v>
    <v>cevtm7</v>
    <v>268435456</v>
    <v>1</v>
    <v>Powered by Refinitiv</v>
    <v>2890</v>
    <v>1635.8</v>
    <v>0.88800000000000001</v>
    <v>-60.6</v>
    <v>-3.286E-2</v>
    <v>INR</v>
    <v>Hyundai Motor India Limited (HMIL) is an India-based smart mobility solutions provider. The Company is a wholly owned subsidiary of Hyundai Motor Company. The Company is in the business of manufacturing and supplying motor vehicles, engines, transmission and other parts, related after-sales activities, and related engineering and broking services. It operates with a network of over 1,366 sales points and 1,550 service points across India. Its model line-up consists of car models across different customer segments, including Grand i10 NIOS, i20, i20 N Line, AURA, EXTER, EXTER Hy-CNG Duo, VENUE, VENUE N Line, VERNA, CRETA, CRETA N Line, CRETA Electric, ALCAZAR, TUCSON and the all-electric SUV IONIQ 5. HMIL also forms a critical part of HMC’s global export hub with exports spanning across Africa, the Middle East, and other countries, including Bangladesh, Nepal, Bhutan and Sri Lanka. HMIL’s manufacturing plant, near Chennai, is optimized to manufacture its full range of vehicle models.</v>
    <v>3871</v>
    <v>National Stock Exchange of India</v>
    <v>XNSE</v>
    <v>XNSE</v>
    <v>Plot C-11, City Center, Sector - 29, GURGAON, HARYANA, 122001 IN</v>
    <v>1853.2</v>
    <v>Automobiles &amp; Auto Parts</v>
    <v>Stock</v>
    <v>46136.468159722222</v>
    <v>1772.2</v>
    <v>1874045000000</v>
    <v>HYUNDAI MOTOR INDIA LIMITED</v>
    <v>HYUNDAI MOTOR INDIA LIMITED</v>
    <v>1848.7</v>
    <v>25.031600000000001</v>
    <v>1844.2</v>
    <v>1783.6</v>
    <v>812541100</v>
    <v>HYUNDAI</v>
    <v>HYUNDAI MOTOR INDIA LIMITED (XNSE:HYUNDAI)</v>
    <v>1088815</v>
    <v>990340</v>
    <v>1996</v>
  </rv>
  <rv s="1">
    <v>103</v>
  </rv>
  <rv s="2">
    <v>http://zh.wikipedia.org/wiki/ICICI银行</v>
    <v>Wikipedia</v>
  </rv>
  <rv s="5">
    <v>43</v>
    <v>105</v>
  </rv>
  <rv s="6">
    <v>14</v>
    <v>https://www.bing.com/th?id=AMMS_7a55564cbcf9b185c2bd50f7f3a85b23&amp;qlt=95</v>
    <v>106</v>
    <v>0</v>
    <v>https://www.bing.com/images/search?form=xlimg&amp;q=icici+bank</v>
    <v>Image of ICICI BANK LIMITED</v>
  </rv>
  <rv s="2">
    <v>https://www.bing.com/financeapi/forcetrigger?t=ahi877&amp;q=XNSE%3aICICIBANK&amp;form=skydnc</v>
    <v>Learn more on Bing</v>
  </rv>
  <rv s="7">
    <v>10</v>
    <v>ICICI BANK LIMITED (XNSE:ICICIBANK)</v>
    <v>12</v>
    <v>13</v>
    <v>Finance</v>
    <v>8</v>
    <v>en-GB</v>
    <v>ahi877</v>
    <v>268435456</v>
    <v>1</v>
    <v>Powered by Refinitiv</v>
    <v>1500</v>
    <v>1187.5999999999999</v>
    <v>0.98799999999999999</v>
    <v>-21.8</v>
    <v>-1.6171999999999999E-2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1348.8</v>
    <v>107</v>
    <v>Banking Services</v>
    <v>Stock</v>
    <v>46136.468113425923</v>
    <v>108</v>
    <v>1324</v>
    <v>10272960000000</v>
    <v>ICICI BANK LIMITED</v>
    <v>ICICI BANK LIMITED</v>
    <v>1336.3</v>
    <v>17.475300000000001</v>
    <v>1348</v>
    <v>1326.2</v>
    <v>7165388000</v>
    <v>ICICIBANK</v>
    <v>ICICI BANK LIMITED (XNSE:ICICIBANK)</v>
    <v>14056743</v>
    <v>21625590</v>
    <v>1994</v>
  </rv>
  <rv s="1">
    <v>109</v>
  </rv>
  <rv s="2">
    <v>https://www.bing.com/financeapi/forcetrigger?t=bqsoyc&amp;q=XNSE%3aINDIAMART&amp;form=skydnc</v>
    <v>Learn more on Bing</v>
  </rv>
  <rv s="3">
    <v>5</v>
    <v>INDIAMART INTERMESH LIMITED (XNSE:INDIAMART)</v>
    <v>6</v>
    <v>7</v>
    <v>Finance</v>
    <v>8</v>
    <v>en-GB</v>
    <v>bqsoyc</v>
    <v>268435456</v>
    <v>1</v>
    <v>Powered by Refinitiv</v>
    <v>2799</v>
    <v>1925.6</v>
    <v>0.87619999999999998</v>
    <v>-52.3</v>
    <v>-2.4220000000000002E-2</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6102</v>
    <v>National Stock Exchange of India</v>
    <v>XNSE</v>
    <v>XNSE</v>
    <v>6th floor, Tower 2, Assotech Business Cresterra, Plot No.22, Sec 135, NOIDA, UTTAR PRADESH, 201305 IN</v>
    <v>2170</v>
    <v>Software &amp; IT Services</v>
    <v>Stock</v>
    <v>46136.468124999999</v>
    <v>111</v>
    <v>2099.6</v>
    <v>129551000000</v>
    <v>INDIAMART INTERMESH LIMITED</v>
    <v>INDIAMART INTERMESH LIMITED</v>
    <v>2164.6999999999998</v>
    <v>20.895900000000001</v>
    <v>2159.4</v>
    <v>2107.1</v>
    <v>60082660</v>
    <v>INDIAMART</v>
    <v>INDIAMART INTERMESH LIMITED (XNSE:INDIAMART)</v>
    <v>61379</v>
    <v>167180</v>
    <v>1999</v>
  </rv>
  <rv s="1">
    <v>112</v>
  </rv>
  <rv s="2">
    <v>https://www.bing.com/financeapi/forcetrigger?t=ahiak2&amp;q=XNSE%3aINDIANB&amp;form=skydnc</v>
    <v>Learn more on Bing</v>
  </rv>
  <rv s="3">
    <v>5</v>
    <v>Indian Bank (XNSE:INDIANB)</v>
    <v>6</v>
    <v>7</v>
    <v>Finance</v>
    <v>8</v>
    <v>en-GB</v>
    <v>ahiak2</v>
    <v>268435456</v>
    <v>1</v>
    <v>Powered by Refinitiv</v>
    <v>1000.9</v>
    <v>546.1</v>
    <v>0.86839999999999995</v>
    <v>-5.05</v>
    <v>-5.5189999999999996E-3</v>
    <v>INR</v>
    <v>Indian Bank is an India-based public sector bank. Its segments include Treasury, Corporate/Wholesale Banking, Retail Banking and Other Banking Business. Treasury Segment includes the entire investment portfolio and trading in foreign exchange contracts and derivative contracts. Corporate/Wholesale Banking segment comprises the lending activities of corporate accounts group, commercial clients group and stressed assets resolution group. This segment providing loans and transaction services to corporate and institutional clients and also include non-treasury operations of foreign offices. Retail banking segment includes digital banking and other retail banking. Its other retail banking comprises of retail branches, which includes personal banking activities including lending activities to corporate customers having banking relations with these branches. It has over 5847 (including three digital banking units) domestic branches, three overseas branches and one IFSC banking unit.</v>
    <v>40071</v>
    <v>National Stock Exchange of India</v>
    <v>XNSE</v>
    <v>XNSE</v>
    <v>PB No: 5555, 254-260, Avvai Shanmugam Salai,, Royapettah,, CHENNAI, TAMIL NADU, 600014 IN</v>
    <v>923.5</v>
    <v>Banking Services</v>
    <v>Stock</v>
    <v>46136.468136574076</v>
    <v>114</v>
    <v>901.4</v>
    <v>1101480000000</v>
    <v>Indian Bank</v>
    <v>Indian Bank</v>
    <v>914.95</v>
    <v>10.6463</v>
    <v>914.95</v>
    <v>909.9</v>
    <v>1346964000</v>
    <v>INDIANB</v>
    <v>Indian Bank (XNSE:INDIANB)</v>
    <v>2514713</v>
    <v>2358390</v>
    <v>1907</v>
  </rv>
  <rv s="1">
    <v>115</v>
  </rv>
  <rv s="2">
    <v>https://www.bing.com/financeapi/forcetrigger?t=ahicfr&amp;q=XNSE%3aINDUSTOWER&amp;form=skydnc</v>
    <v>Learn more on Bing</v>
  </rv>
  <rv s="3">
    <v>5</v>
    <v>Indus Towers Limited (XNSE:INDUSTOWER)</v>
    <v>6</v>
    <v>7</v>
    <v>Finance</v>
    <v>8</v>
    <v>en-GB</v>
    <v>ahicfr</v>
    <v>268435456</v>
    <v>1</v>
    <v>Powered by Refinitiv</v>
    <v>481.5</v>
    <v>312.55</v>
    <v>0.83299999999999996</v>
    <v>-2.5</v>
    <v>-6.1770000000000002E-3</v>
    <v>INR</v>
    <v>Indus Towers Limited is an India-based telecommunications (telecom) infrastructure provider. The Company deploys, owns, and manages telecom towers and communication structures. Its offerings include tower, power, space; smart cities; tower operations centers (TOC), and green technology. It deploys the passive physical infrastructure necessary to house the active equipment - the base transceiver station, transmission link, and microwave antenna. Its towers range from the traditional lattice type structure, such as the ground-based tower and rooftop tower or pole, to lightweight hybrid poles, monopoles or camouflaged towers that merge with the backdrop. Its towers are powered by either grid-sourced electricity or diesel generators. It acquires the requisite space from residential and commercial property owners for placing its passive infrastructure at various locations. It owns and operates approximately 219,736 towers with 368,588 co-locations.</v>
    <v>3732</v>
    <v>National Stock Exchange of India</v>
    <v>XNSE</v>
    <v>XNSE</v>
    <v>Building No. 10, Tower-A, 4th Floor, DLF Cyber City, GURGAON, HARYANA, 122002 IN</v>
    <v>406.6</v>
    <v>Telecommunications Services</v>
    <v>Stock</v>
    <v>46136.468171296299</v>
    <v>117</v>
    <v>395.65</v>
    <v>1128430000000</v>
    <v>Indus Towers Limited</v>
    <v>Indus Towers Limited</v>
    <v>405.9</v>
    <v>14.8743</v>
    <v>404.7</v>
    <v>402.2</v>
    <v>2637190000</v>
    <v>INDUSTOWER</v>
    <v>Indus Towers Limited (XNSE:INDUSTOWER)</v>
    <v>5743207</v>
    <v>6701640</v>
    <v>2006</v>
  </rv>
  <rv s="1">
    <v>118</v>
  </rv>
  <rv s="2">
    <v>https://www.bing.com/financeapi/forcetrigger?t=ahj4p2&amp;q=XNSE%3aNAUKRI&amp;form=skydnc</v>
    <v>Learn more on Bing</v>
  </rv>
  <rv s="3">
    <v>5</v>
    <v>INFO EDGE (INDIA) LIMITED (XNSE:NAUKRI)</v>
    <v>6</v>
    <v>7</v>
    <v>Finance</v>
    <v>8</v>
    <v>en-GB</v>
    <v>ahj4p2</v>
    <v>268435456</v>
    <v>1</v>
    <v>Powered by Refinitiv</v>
    <v>1550</v>
    <v>930.5</v>
    <v>1.2491000000000001</v>
    <v>-33.1</v>
    <v>-3.2513E-2</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It operates in service verticals, which includes recruitment solutions through its brands naukri.com, iimjobs.com, hirist.com, ambitionbox.com, jobhai.com; in matrimonial services through its brand jeevansaathi.com, and in education services through its brand shiksha.com.</v>
    <v>5984</v>
    <v>National Stock Exchange of India</v>
    <v>XNSE</v>
    <v>XNSE</v>
    <v>GROUND FLOOR, GF-12A 94 MEGHDOOT, NEHRU PLACE,, DELHI, 110020 IN</v>
    <v>1016.3</v>
    <v>Software &amp; IT Services</v>
    <v>Stock</v>
    <v>46136.468136574076</v>
    <v>120</v>
    <v>979.35</v>
    <v>862635900000</v>
    <v>INFO EDGE (INDIA) LIMITED</v>
    <v>INFO EDGE (INDIA) LIMITED</v>
    <v>1015</v>
    <v>47.333799999999997</v>
    <v>1018.05</v>
    <v>984.95</v>
    <v>647737400</v>
    <v>NAUKRI</v>
    <v>INFO EDGE (INDIA) LIMITED (XNSE:NAUKRI)</v>
    <v>2114591</v>
    <v>1806910</v>
    <v>1995</v>
  </rv>
  <rv s="1">
    <v>121</v>
  </rv>
  <rv s="2">
    <v>https://www.bing.com/financeapi/forcetrigger?t=ahicim&amp;q=XNSE%3aINFY&amp;form=skydnc</v>
    <v>Learn more on Bing</v>
  </rv>
  <rv s="3">
    <v>5</v>
    <v>INFOSYS LIMITED (XNSE:INFY)</v>
    <v>6</v>
    <v>7</v>
    <v>Finance</v>
    <v>8</v>
    <v>en-GB</v>
    <v>ahicim</v>
    <v>268435456</v>
    <v>1</v>
    <v>Powered by Refinitiv</v>
    <v>1728</v>
    <v>1152.2</v>
    <v>0.72899999999999998</v>
    <v>-86</v>
    <v>-6.9321000000000008E-2</v>
    <v>INR</v>
    <v>Infosys Limited is an India-based company which provides digital services and consulting. The Company enables clients in approximately 63 countries to navigate their digital transformation powered by cloud and artificial intelligence (AI). Its segments include Financial Services; Retail; Communication; Energy, Utilities, Resources and Services; Manufacturing; Hi-Tech; Life Sciences, and All other segments. The Company's solutions have been primarily classified as digital and core. Its digital solutions include experience, insight, innovate, accelerate, and assure. Its experience solutions include Infosys Aster, Digital Marketing, Digital Commerce and Infosys Metaverse Foundry. Its insight solutions include Infosys Topaz, Infosys Generative AI Labs, Data Analytics and AI, Infosys Sustainability Services and Applied AI. Its core solutions include application management services, proprietary application development services, traditional enterprise application implementation and others.</v>
    <v>328594</v>
    <v>National Stock Exchange of India</v>
    <v>XNSE</v>
    <v>XNSE</v>
    <v>Electronics City Hosur Rd, BANGALORE, KARNATAKA, 560100 IN</v>
    <v>1223.9000000000001</v>
    <v>Software &amp; IT Services</v>
    <v>Stock</v>
    <v>46136.468113425923</v>
    <v>123</v>
    <v>1152.2</v>
    <v>6468877000000</v>
    <v>INFOSYS LIMITED</v>
    <v>INFOSYS LIMITED</v>
    <v>1200</v>
    <v>16.130199999999999</v>
    <v>1240.5999999999999</v>
    <v>1154.5999999999999</v>
    <v>4046639000</v>
    <v>INFY</v>
    <v>INFOSYS LIMITED (XNSE:INFY)</v>
    <v>42078914</v>
    <v>14053230</v>
    <v>1981</v>
  </rv>
  <rv s="1">
    <v>124</v>
  </rv>
  <rv s="2">
    <v>https://www.bing.com/financeapi/forcetrigger?t=c3h31h&amp;q=XNSE%3aINTLCONV&amp;form=skydnc</v>
    <v>Learn more on Bing</v>
  </rv>
  <rv s="3">
    <v>5</v>
    <v>INTERNATIONAL CONVEYORS LIMITED (XNSE:INTLCONV)</v>
    <v>6</v>
    <v>7</v>
    <v>Finance</v>
    <v>8</v>
    <v>en-GB</v>
    <v>c3h31h</v>
    <v>268435456</v>
    <v>1</v>
    <v>Powered by Refinitiv</v>
    <v>114.54</v>
    <v>60</v>
    <v>1.5959000000000001</v>
    <v>-0.33</v>
    <v>-4.2780000000000006E-3</v>
    <v>INR</v>
    <v>International Conveyors Limited is engaged in manufacturing and marketing of solid woven fabric reinforced polyvinyl chloride (PVC) impregnated and PVC covered fire retardant, anti-static conveyor belting in India. The Company’s segments include Conveyor Belting, Wind Energy, Trading Goods, and Investment. The Conveyor Belting segment includes manufacturing and sale of PVC conveyor belting. The Wind Energy segment includes generation, supply and sale of wind power (electricity). The primary product of the Company is PVC Fire Resistant Antistatic Solid Woven Conveyor Belting. It manufactures solid woven belting and has a complete product range from Conveyor Belting up to 3150 kilonewton meters (kN/m) (type 18) in strength and belting widths ranging from 600 millimeters (mm) to 1800 mm. It has five windmills with locations spread across Karnataka, Maharashtra, Gujrat, and Andhra Pradesh. Its belt is suitable for conveying coal, potash, phosphate, fertilizer, clay, gypsum, and salt.</v>
    <v>93</v>
    <v>National Stock Exchange of India</v>
    <v>XNSE</v>
    <v>XNSE</v>
    <v>10 Middleton Row, KOLKATA, WEST BENGAL, 700071 IN</v>
    <v>77.8</v>
    <v>Machinery, Equipment &amp; Components</v>
    <v>Stock</v>
    <v>46136.468113425923</v>
    <v>126</v>
    <v>75.819999999999993</v>
    <v>5214734000</v>
    <v>INTERNATIONAL CONVEYORS LIMITED</v>
    <v>INTERNATIONAL CONVEYORS LIMITED</v>
    <v>76.55</v>
    <v>6.2862</v>
    <v>77.13</v>
    <v>76.8</v>
    <v>63781000</v>
    <v>INTLCONV</v>
    <v>INTERNATIONAL CONVEYORS LIMITED (XNSE:INTLCONV)</v>
    <v>24619</v>
    <v>101660</v>
    <v>1973</v>
  </rv>
  <rv s="1">
    <v>127</v>
  </rv>
  <rv s="2">
    <v>https://www.bing.com/financeapi/forcetrigger?t=bsg5qh&amp;q=XNSE%3aIRCTC&amp;form=skydnc</v>
    <v>Learn more on Bing</v>
  </rv>
  <rv s="3">
    <v>5</v>
    <v>INDIAN RAILWAY CATERING AND TOURISM CORPORATION LIMITED (XNSE:IRCTC)</v>
    <v>6</v>
    <v>7</v>
    <v>Finance</v>
    <v>8</v>
    <v>en-GB</v>
    <v>bsg5qh</v>
    <v>268435456</v>
    <v>1</v>
    <v>Powered by Refinitiv</v>
    <v>820.25</v>
    <v>492.65</v>
    <v>1.5152000000000001</v>
    <v>-10.15</v>
    <v>-1.8408999999999998E-2</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IRCTC Ltd, 11th Floor, B ? 148, Statesman House, Barakhamba Road, New Delhi ? 110 001, Delhi, Indi, DELHI, DELHI, 110001 IN</v>
    <v>556</v>
    <v>Passenger Transportation Services</v>
    <v>Stock</v>
    <v>46136.468136574076</v>
    <v>129</v>
    <v>539.20000000000005</v>
    <v>504160000000</v>
    <v>INDIAN RAILWAY CATERING AND TOURISM CORPORATION LIMITED</v>
    <v>INDIAN RAILWAY CATERING AND TOURISM CORPORATION LIMITED</v>
    <v>552</v>
    <v>30.376999999999999</v>
    <v>551.35</v>
    <v>541.20000000000005</v>
    <v>800000000</v>
    <v>IRCTC</v>
    <v>INDIAN RAILWAY CATERING AND TOURISM CORPORATION LIMITED (XNSE:IRCTC)</v>
    <v>944945</v>
    <v>1353610</v>
    <v>1999</v>
  </rv>
  <rv s="1">
    <v>130</v>
  </rv>
  <rv s="2">
    <v>https://www.bing.com/financeapi/forcetrigger?t=ahie2w&amp;q=XNSE%3aITC&amp;form=skydnc</v>
    <v>Learn more on Bing</v>
  </rv>
  <rv s="3">
    <v>5</v>
    <v>ITC LIMITED (XNSE:ITC)</v>
    <v>6</v>
    <v>7</v>
    <v>Finance</v>
    <v>8</v>
    <v>en-GB</v>
    <v>ahie2w</v>
    <v>268435456</v>
    <v>1</v>
    <v>Powered by Refinitiv</v>
    <v>444.2</v>
    <v>287</v>
    <v>0.8357</v>
    <v>-3.7</v>
    <v>-1.2119E-2</v>
    <v>INR</v>
    <v>ITC Limited is an India-based diversified conglomerate company. The Company’s segments include Fast Moving Consumer Goods (FMCG), Paperboards, Paper and Packaging, and Agri Business. The FMCG segment comprises products, such as cigarettes, cigars, education and stationery supplies, personal care items, safety matches, agarbattis, and branded packaged foods, which include staples and meals, snacks, dairy and beverages, biscuits and cakes, chocolates, coffee, and confectionery. The Paperboards, Paper and Packaging segment includes specialty paper and flexible packaging. The Agri Business segment involves trading of agricultural commodities such as wheat, rice, spices, coffee, soya, and leaf tobacco. Its FMCG brands include Aashirvaad, Sunfeast, Yippee!, Bingo!, B Natural, 24 Mantra Organic, ITC Master Chef, Fabelle, Sunbean, Fiama, Vivel, Savlon, Classmate, Paperkraft, Mangaldeep, and others. Its personal care brands feature EDW Essenza, Dermafique, Fiama, Vivel, Engage, and others.</v>
    <v>22041</v>
    <v>National Stock Exchange of India</v>
    <v>XNSE</v>
    <v>XNSE</v>
    <v>Virginia House, 37 Jawaharlal Nehru Road, KOLKATA, WEST BENGAL, 700071 IN</v>
    <v>306.64999999999998</v>
    <v>Food &amp; Tobacco</v>
    <v>Stock</v>
    <v>46136.468113425923</v>
    <v>132</v>
    <v>301.10000000000002</v>
    <v>4193443000000</v>
    <v>ITC LIMITED</v>
    <v>ITC LIMITED</v>
    <v>306.64999999999998</v>
    <v>18.534800000000001</v>
    <v>305.3</v>
    <v>301.60000000000002</v>
    <v>12529470000</v>
    <v>ITC</v>
    <v>ITC LIMITED (XNSE:ITC)</v>
    <v>17011704</v>
    <v>20704560</v>
    <v>1910</v>
  </rv>
  <rv s="1">
    <v>133</v>
  </rv>
  <rv s="2">
    <v>https://www.bing.com/financeapi/forcetrigger?t=ahihkr&amp;q=XNSE%3aJKPAPER&amp;form=skydnc</v>
    <v>Learn more on Bing</v>
  </rv>
  <rv s="3">
    <v>5</v>
    <v>JK PAPER LIMITED (XNSE:JKPAPER)</v>
    <v>6</v>
    <v>7</v>
    <v>Finance</v>
    <v>8</v>
    <v>en-GB</v>
    <v>ahihkr</v>
    <v>268435456</v>
    <v>1</v>
    <v>Powered by Refinitiv</v>
    <v>444.8</v>
    <v>296.85000000000002</v>
    <v>1.3467</v>
    <v>-9.5</v>
    <v>-2.4921000000000002E-2</v>
    <v>INR</v>
    <v>JK Paper Limited is an India-based producer of paper and paper boards. The Company offers various products, such as office documentation papers, uncoated paper and board, coated paper and board, and packaging board. It offers a range of office documentation papers from economy to premium grades. The product includes photocopy and multipurpose papers for use in desktops, inkjet and laser printers, fax machines, photocopiers and multi-functional devices. It offers a range of uncoated writing and printing paper for varied needs, including the super bright JK Maplitho. Its Uncoated Paper and Board products include JK Bond, JK MICR Cheque Paper, JK Parchment Paper, and others. Its Coated Paper and Board products include JK Cote (Matt/Gloss), JK Superkote / JK Cote Premium (Gloss) and JK Cote Chromo (Matt/Gloss). Its Packaging Board products include JK Ultima, JK TuffCote, and others. It is also engaged in the business of manufacturing, marketing and exporting animal nutrition products.</v>
    <v>2854</v>
    <v>National Stock Exchange of India</v>
    <v>XNSE</v>
    <v>XNSE</v>
    <v>Nehru House,, 4, Bahadur Shah Zafar Marg,, NEW DELHI, DELHI, 110002 IN</v>
    <v>382.25</v>
    <v>Paper &amp; Forest Products</v>
    <v>Stock</v>
    <v>46136.468124999999</v>
    <v>135</v>
    <v>370.1</v>
    <v>59460220000</v>
    <v>JK PAPER LIMITED</v>
    <v>JK PAPER LIMITED</v>
    <v>381.2</v>
    <v>24.245200000000001</v>
    <v>381.2</v>
    <v>371.7</v>
    <v>181318800</v>
    <v>JKPAPER</v>
    <v>JK PAPER LIMITED (XNSE:JKPAPER)</v>
    <v>127465</v>
    <v>330590</v>
    <v>1960</v>
  </rv>
  <rv s="1">
    <v>136</v>
  </rv>
  <rv s="2">
    <v>https://www.bing.com/financeapi/forcetrigger?t=c1d29c&amp;q=XNSE%3aKALYANKJIL&amp;form=skydnc</v>
    <v>Learn more on Bing</v>
  </rv>
  <rv s="3">
    <v>5</v>
    <v>KALYAN JEWELLERS INDIA LIMITED (XNSE:KALYANKJIL)</v>
    <v>6</v>
    <v>7</v>
    <v>Finance</v>
    <v>8</v>
    <v>en-GB</v>
    <v>c1d29c</v>
    <v>268435456</v>
    <v>1</v>
    <v>Powered by Refinitiv</v>
    <v>617.70000000000005</v>
    <v>347.5</v>
    <v>0.99860000000000004</v>
    <v>-7.55</v>
    <v>-1.8287999999999999E-2</v>
    <v>INR</v>
    <v>Kalyan Jewellers India Limited is an India-based international retail jewelry chain, which is engaged in the manufacturing and retailing of primarily gold and precious stone-studded jewelry. The Company’s brands include Mudhra, Nimah, Anokhi, Rang, Tejasvi, Ziah, Laya, Glo, Candere, Vedha, Apoorva, and Hera. Its products include chain, necklace, bangles, bracelets, nose studs, choker set, daily wear, vaddanam, jewellery set, rings, earrings, pendant, anklets, pearl studs, moti set, jhumka, locket, haram, kada, payal, and second stud. The Company manufactures jewelry from various metals, such as gold, diamond, silver, platinum, gemstone, white gold, and rose gold. It has approximately 316 retail stores across India, the Middle East, and the United States of America. Its subsidiaries include Kalyan Jewellers FZE, Kalyan Jewellers LLC, Kalyan Jewellers for Golden Jewelry Company, W.L.L., Kalyan Jewelers, Inc., Kalyan Jewellers Bahrain W.L.L, and Enovate Lifestyles Private Limited.</v>
    <v>12534</v>
    <v>National Stock Exchange of India</v>
    <v>XNSE</v>
    <v>XNSE</v>
    <v>TC-32/204/2, SITARAM MILL ROAD / PREMJI ROAD, PUNKUNNAM, THRICHUR, KERALA, 680002 IN</v>
    <v>418</v>
    <v>Specialty Retailers</v>
    <v>Stock</v>
    <v>46136.468113425923</v>
    <v>138</v>
    <v>402.35</v>
    <v>511632700000</v>
    <v>KALYAN JEWELLERS INDIA LIMITED</v>
    <v>KALYAN JEWELLERS INDIA LIMITED</v>
    <v>412.8</v>
    <v>37.072600000000001</v>
    <v>412.85</v>
    <v>405.3</v>
    <v>1032740000</v>
    <v>KALYANKJIL</v>
    <v>KALYAN JEWELLERS INDIA LIMITED (XNSE:KALYANKJIL)</v>
    <v>2734805</v>
    <v>5413670</v>
    <v>2009</v>
  </rv>
  <rv s="1">
    <v>139</v>
  </rv>
  <rv s="2">
    <v>https://www.bing.com/financeapi/forcetrigger?t=ahik4c&amp;q=XNSE%3aKAMDHENU&amp;form=skydnc</v>
    <v>Learn more on Bing</v>
  </rv>
  <rv s="3">
    <v>5</v>
    <v>KAMDHENU LIMITED (XNSE:KAMDHENU)</v>
    <v>6</v>
    <v>7</v>
    <v>Finance</v>
    <v>8</v>
    <v>en-GB</v>
    <v>ahik4c</v>
    <v>268435456</v>
    <v>1</v>
    <v>Powered by Refinitiv</v>
    <v>35.950000000000003</v>
    <v>16.149999999999999</v>
    <v>1.5921000000000001</v>
    <v>-0.5</v>
    <v>-2.2381000000000002E-2</v>
    <v>INR</v>
    <v>Kamdhenu Limited is an India-based company. The Company is engaged in manufacturing, marketing, branding and distribution of thermo-mechanically treated (TMT) bars, structural steel and allied products under brand name KAMDHENU. The Company’s brands include Kamdhenu Nxt, Kamdhenu PAS 10000, Structural Steel, Kamdhenu Pipes, Kamdhenu Wirebond, Pre-Engineered Building, Kamdhenu Paints and Colour Max Colour Coated Sheets. Kamdhenu Nxt is manufactured with cutting-edge technology. It manufactures structural steel under a franchisee arrangement. Kamdhenu Colour Max Sheets offers a range of accessories and rainwater systems to provide customer satisfaction. Kamdhenu Sheets also produces Arch/ Curved Profile, which is available in concave as well as convex shape. Its subsidiary is Kamdhenu Jeevandhara Foundation.</v>
    <v>570</v>
    <v>National Stock Exchange of India</v>
    <v>XNSE</v>
    <v>XNSE</v>
    <v>2Nd Floor,Tower-A,Building No.9,Dlf Cyber City,Phase-Iii, GURGAON, HARYANA, 122002 IN</v>
    <v>22.62</v>
    <v>Metals &amp; Mining</v>
    <v>Stock</v>
    <v>46136.468136574076</v>
    <v>141</v>
    <v>21.61</v>
    <v>6311360000</v>
    <v>KAMDHENU LIMITED</v>
    <v>KAMDHENU LIMITED</v>
    <v>22.36</v>
    <v>7.7949999999999999</v>
    <v>22.34</v>
    <v>21.84</v>
    <v>281883000</v>
    <v>KAMDHENU</v>
    <v>KAMDHENU LIMITED (XNSE:KAMDHENU)</v>
    <v>538428</v>
    <v>1129250</v>
    <v>1994</v>
  </rv>
  <rv s="1">
    <v>142</v>
  </rv>
  <rv s="2">
    <v>https://www.bing.com/financeapi/forcetrigger?t=ahikim&amp;q=XNSE%3aKARURVYSYA&amp;form=skydnc</v>
    <v>Learn more on Bing</v>
  </rv>
  <rv s="3">
    <v>5</v>
    <v>THE KARUR VYSYA BANK LIMITED (XNSE:KARURVYSYA)</v>
    <v>6</v>
    <v>7</v>
    <v>Finance</v>
    <v>8</v>
    <v>en-GB</v>
    <v>ahikim</v>
    <v>268435456</v>
    <v>1</v>
    <v>Powered by Refinitiv</v>
    <v>343.45</v>
    <v>169.83</v>
    <v>0.77290000000000003</v>
    <v>-1.55</v>
    <v>-5.2190000000000005E-3</v>
    <v>INR</v>
    <v>The Karur Vysya Bank Limited (the Bank) is a banking company. It is engaged in providing a range of banking and financial services, including commercial banking and treasury operations. Its segments include Treasury, Corporate and Wholesale Banking, Retail Banking, and Other Banking Operations. The Treasury segment comprises of investments in central and state government securities, debt instruments of banks, insurance companies, PSUs and corporates, certificate of deposits, mutual funds, and security and receipts, among others. The Corporate and Wholesale Banking segment includes all advances to trusts, partnership firms, companies and statutory bodies. The Retail Banking segment includes Digital Banking and Other Retail Banking. It comprises of lending of funds and other banking services to any legal person including small business customers. The Other Banking Operations segment includes para-banking activities like bancassurance, third party product distribution, and demat services.</v>
    <v>9765</v>
    <v>National Stock Exchange of India</v>
    <v>XNSE</v>
    <v>XNSE</v>
    <v>No. 20, Erode Road,, Vadivel Nagar, L.N.S., KARUR, TAMIL NADU, 639002 IN</v>
    <v>299.35000000000002</v>
    <v>Banking Services</v>
    <v>Stock</v>
    <v>46136.468113425923</v>
    <v>144</v>
    <v>293.05</v>
    <v>255961700000</v>
    <v>THE KARUR VYSYA BANK LIMITED</v>
    <v>THE KARUR VYSYA BANK LIMITED</v>
    <v>297.14999999999998</v>
    <v>12.4122</v>
    <v>297</v>
    <v>295.45</v>
    <v>966646200</v>
    <v>KARURVYSYA</v>
    <v>THE KARUR VYSYA BANK LIMITED (XNSE:KARURVYSYA)</v>
    <v>969704</v>
    <v>4325240</v>
    <v>1916</v>
  </rv>
  <rv s="1">
    <v>145</v>
  </rv>
  <rv s="2">
    <v>https://www.bing.com/financeapi/forcetrigger?t=ahinjc&amp;q=XNSE%3aKOTAKBANK&amp;form=skydnc</v>
    <v>Learn more on Bing</v>
  </rv>
  <rv s="3">
    <v>5</v>
    <v>KOTAK MAHINDRA BANK LIMITED (XNSE:KOTAKBANK)</v>
    <v>6</v>
    <v>7</v>
    <v>Finance</v>
    <v>8</v>
    <v>en-GB</v>
    <v>ahinjc</v>
    <v>268435456</v>
    <v>1</v>
    <v>Powered by Refinitiv</v>
    <v>460.38</v>
    <v>345.5</v>
    <v>0.91500000000000004</v>
    <v>0.45</v>
    <v>1.2149999999999999E-3</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372.8</v>
    <v>Banking Services</v>
    <v>Stock</v>
    <v>46136.468113425923</v>
    <v>147</v>
    <v>367.65</v>
    <v>4241952000000</v>
    <v>KOTAK MAHINDRA BANK LIMITED</v>
    <v>KOTAK MAHINDRA BANK LIMITED</v>
    <v>370.6</v>
    <v>19.617100000000001</v>
    <v>370.4</v>
    <v>370.85</v>
    <v>10946460000</v>
    <v>KOTAKBANK</v>
    <v>KOTAK MAHINDRA BANK LIMITED (XNSE:KOTAKBANK)</v>
    <v>19678907</v>
    <v>17709210</v>
    <v>1985</v>
  </rv>
  <rv s="1">
    <v>148</v>
  </rv>
  <rv s="2">
    <v>https://www.bing.com/financeapi/forcetrigger?t=bpucm7&amp;q=XNSE%3aKPITTECH&amp;form=skydnc</v>
    <v>Learn more on Bing</v>
  </rv>
  <rv s="3">
    <v>5</v>
    <v>KPIT TECHNOLOGIES LIMITED (XNSE:KPITTECH)</v>
    <v>6</v>
    <v>7</v>
    <v>Finance</v>
    <v>8</v>
    <v>en-GB</v>
    <v>bpucm7</v>
    <v>268435456</v>
    <v>1</v>
    <v>Powered by Refinitiv</v>
    <v>1434.5</v>
    <v>624.9</v>
    <v>1.0644</v>
    <v>-24.05</v>
    <v>-3.2780999999999998E-2</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733.95</v>
    <v>Software &amp; IT Services</v>
    <v>Stock</v>
    <v>46136.468124999999</v>
    <v>150</v>
    <v>690.15</v>
    <v>319290400000</v>
    <v>KPIT TECHNOLOGIES LIMITED</v>
    <v>KPIT TECHNOLOGIES LIMITED</v>
    <v>733.5</v>
    <v>26.832699999999999</v>
    <v>733.65</v>
    <v>709.6</v>
    <v>272227200</v>
    <v>KPITTECH</v>
    <v>KPIT TECHNOLOGIES LIMITED (XNSE:KPITTECH)</v>
    <v>2240743</v>
    <v>1538070</v>
    <v>2018</v>
  </rv>
  <rv s="1">
    <v>151</v>
  </rv>
  <rv s="2">
    <v>https://www.bing.com/financeapi/forcetrigger?t=ahaiec&amp;q=XBOM%3a519421&amp;form=skydnc</v>
    <v>Learn more on Bing</v>
  </rv>
  <rv s="10">
    <v>20</v>
    <v>KSE LIMITED (XBOM:519421)</v>
    <v>6</v>
    <v>21</v>
    <v>Finance</v>
    <v>4</v>
    <v>en-GB</v>
    <v>ahaiec</v>
    <v>268435456</v>
    <v>1</v>
    <v>Powered by Refinitiv</v>
    <v>284.89999999999998</v>
    <v>174</v>
    <v>0.43990000000000001</v>
    <v>-4.5</v>
    <v>-2.1583000000000001E-2</v>
    <v>0.05</v>
    <v>2.452E-4</v>
    <v>INR</v>
    <v>KSE Limited is a manufacturer of compound cattle feed in the private sector in India. The Company is engaged in manufacturing ready mixed cattle feed, extraction of oil from oil cakes using solvent extraction method and processing of milk and milk products. The Company operates through three segments: Animal Feed Division, Oil Cake Processing Division, and Dairy Division. Its Oil Cake Processing Division includes vegetable oil refining. Its Dairy Division consists of milk and milk products, including ice cream. Its cattle products include KS Deluxe Plus, KS Supreme, KS Layer Grower Crumble, KS Layer Chick Crumble, KS Pushtima, KS Layer Pellet, KS Layer Mash, Lamibuff and Milk Boost. It also offers KS Milk, KS Ghee, and Vesta Ice Cream across various regions in Kerala. Its Vesta Ice Creams are available in various packaging, which include Tub, Conevita, Fruitae, Ice Crush, Milk Lolly, Ice Cream Bar, Sundae, Fundae, Ball, Bulk Pack, and Paper Cup.</v>
    <v>870</v>
    <v>Bombay Stock Exchange</v>
    <v>XBOM</v>
    <v>XBOM</v>
    <v>Solvent Road, Irinjalakuda, THRICHUR, KERALA, 680121 IN</v>
    <v>209.8</v>
    <v>Food &amp; Tobacco</v>
    <v>Stock</v>
    <v>46136.438576388886</v>
    <v>153</v>
    <v>202</v>
    <v>7236800000</v>
    <v>KSE LIMITED</v>
    <v>KSE LIMITED</v>
    <v>208.05</v>
    <v>5.3261000000000003</v>
    <v>208.5</v>
    <v>204</v>
    <v>204</v>
    <v>32000000</v>
    <v>519421</v>
    <v>KSE LIMITED (XBOM:519421)</v>
    <v>5943</v>
    <v>17610</v>
    <v>1963</v>
  </rv>
  <rv s="1">
    <v>154</v>
  </rv>
  <rv s="2">
    <v>https://www.bing.com/financeapi/forcetrigger?t=c4zeh7&amp;q=XNSE%3aMHLXMIRU&amp;form=skydnc</v>
    <v>Learn more on Bing</v>
  </rv>
  <rv s="3">
    <v>5</v>
    <v>MAHALAXMI RUBTECH LTD (XNSE:MHLXMIRU)</v>
    <v>6</v>
    <v>7</v>
    <v>Finance</v>
    <v>8</v>
    <v>en-GB</v>
    <v>c4zeh7</v>
    <v>268435456</v>
    <v>1</v>
    <v>Powered by Refinitiv</v>
    <v>270.68</v>
    <v>153.15</v>
    <v>0.5363</v>
    <v>-7.5</v>
    <v>-4.0913999999999999E-2</v>
    <v>INR</v>
    <v>Mahalaxmi Rubtech Limited is an India-based company, which is engaged in the business of traditional textile and technical textile products. It operates Polymer Based Technical Textile &amp; Rubber Division, which manufactures Offset Rubber Printing Blankets and a range of Technical Coated Fabrics. This division also includes Maheeka Textech which is a weaving unit. It manufactures fabrics for Offset Rubber Printing Blankets used in Sheet Fed, Web, Metal Deco, Packaging, and Security Printing Applications. Maheeka Textech is a weaving unit that includes warping and sizing. Maheeka Textech also has a facility for manufacturing specialty fabrics used for Technical Textiles products. The Company also manufactures a range of Technical Coated Fabrics, which are coated with Acrylics, Polyurethane (PU), Polyvinyl Chloride (PVC) Rubber, and other different polymers. The applications of products comprise tarpaulins, blinds, covers, defense applications, healthcare, medical substrates, among others.</v>
    <v>281</v>
    <v>National Stock Exchange of India</v>
    <v>XNSE</v>
    <v>XNSE</v>
    <v>MAHALAXMI HOUSE,YSL AVENUE, OPP. KETAV PETROL PUMP, AMBAWADI, POLYTECHNIC ROAD, AMBAWADI,, GUJARAT, 380015 IN</v>
    <v>185.01</v>
    <v>Textiles &amp; Apparel</v>
    <v>Stock</v>
    <v>46136.468124999999</v>
    <v>156</v>
    <v>171.98</v>
    <v>2070316000</v>
    <v>MAHALAXMI RUBTECH LTD</v>
    <v>MAHALAXMI RUBTECH LTD</v>
    <v>185.01</v>
    <v>8.9027999999999992</v>
    <v>183.31</v>
    <v>175.81</v>
    <v>10620270</v>
    <v>MHLXMIRU</v>
    <v>MAHALAXMI RUBTECH LTD (XNSE:MHLXMIRU)</v>
    <v>9382</v>
    <v>5100</v>
    <v>1991</v>
  </rv>
  <rv s="1">
    <v>157</v>
  </rv>
  <rv s="2">
    <v>https://www.bing.com/financeapi/forcetrigger?t=ahiu8m&amp;q=XNSE%3aMAHSEAMLES&amp;form=skydnc</v>
    <v>Learn more on Bing</v>
  </rv>
  <rv s="3">
    <v>5</v>
    <v>MAHARASHTRA SEAMLESS LIMITED (XNSE:MAHSEAMLES)</v>
    <v>6</v>
    <v>7</v>
    <v>Finance</v>
    <v>8</v>
    <v>en-GB</v>
    <v>ahiu8m</v>
    <v>268435456</v>
    <v>1</v>
    <v>Powered by Refinitiv</v>
    <v>773.8</v>
    <v>500.7</v>
    <v>0.67279999999999995</v>
    <v>-11.25</v>
    <v>-1.7212000000000002E-2</v>
    <v>INR</v>
    <v>Maharashtra Seamless Limited is India-based company, which is engaged in manufacturing steel pipes and tubes. The Company operates through three segments: Steel Pipes &amp; Tubes, Power Electricity, and RIG. The Company manufactures seamless pipes and tubes with a product range using CPE technology. The Company offers electric resistance welding (ERW) pipes, including mild steel (MS) and galvanized pipes, American Petroleum Institute (API) line pipes and oil country tubular goods (OTCG) casing tubing; seamless pipes, such as hot finished pipes and tubes, cold drawn tubes, boiler tubes, OTCG casing tubing and OTCG drill pipe; coated pipes, including three-layer polyethylene coating, fusion-bonded epoxy coating, internal coating and three-layer polypropylene, and pipe fittings. The Company has also diversified into renewable power generation and rig operations.</v>
    <v>1829</v>
    <v>National Stock Exchange of India</v>
    <v>XNSE</v>
    <v>XNSE</v>
    <v>PIPE NAGAR , VILLAGE SUKELI NH17 BKG ROAD TALUKA ROHA, MAHARASHTRA, 402126 IN</v>
    <v>658.6</v>
    <v>Metals &amp; Mining</v>
    <v>Stock</v>
    <v>46136.468113425923</v>
    <v>159</v>
    <v>639.20000000000005</v>
    <v>69833710000</v>
    <v>MAHARASHTRA SEAMLESS LIMITED</v>
    <v>MAHARASHTRA SEAMLESS LIMITED</v>
    <v>658.6</v>
    <v>10.694800000000001</v>
    <v>653.6</v>
    <v>642.35</v>
    <v>133999300</v>
    <v>MAHSEAMLES</v>
    <v>MAHARASHTRA SEAMLESS LIMITED (XNSE:MAHSEAMLES)</v>
    <v>114310</v>
    <v>201950</v>
    <v>1988</v>
  </rv>
  <rv s="1">
    <v>160</v>
  </rv>
  <rv s="2">
    <v>https://www.bing.com/financeapi/forcetrigger?t=ahizgh&amp;q=XNSE%3aM%26M&amp;form=skydnc</v>
    <v>Learn more on Bing</v>
  </rv>
  <rv s="3">
    <v>5</v>
    <v>MAHINDRA AND MAHINDRA LIMITED (XNSE:M&amp;M)</v>
    <v>6</v>
    <v>7</v>
    <v>Finance</v>
    <v>8</v>
    <v>en-GB</v>
    <v>ahizgh</v>
    <v>268435456</v>
    <v>1</v>
    <v>Powered by Refinitiv</v>
    <v>3839.9</v>
    <v>2665.9</v>
    <v>0.90759999999999996</v>
    <v>-9.3000000000000007</v>
    <v>-3.0509999999999999E-3</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3089</v>
    <v>Automobiles &amp; Auto Parts</v>
    <v>Stock</v>
    <v>46136.468113425923</v>
    <v>162</v>
    <v>3035</v>
    <v>4393970000000</v>
    <v>MAHINDRA AND MAHINDRA LIMITED</v>
    <v>MAHINDRA AND MAHINDRA LIMITED</v>
    <v>3047.7</v>
    <v>21.570799999999998</v>
    <v>3047.7</v>
    <v>3038.4</v>
    <v>1200762000</v>
    <v>M&amp;M</v>
    <v>MAHINDRA AND MAHINDRA LIMITED (XNSE:M&amp;M)</v>
    <v>2300917</v>
    <v>2897270</v>
    <v>1945</v>
  </rv>
  <rv s="1">
    <v>163</v>
  </rv>
  <rv s="2">
    <v>https://www.bing.com/financeapi/forcetrigger?t=ahiwa2&amp;q=XNSE%3aMARUTI&amp;form=skydnc</v>
    <v>Learn more on Bing</v>
  </rv>
  <rv s="3">
    <v>5</v>
    <v>MARUTI SUZUKI INDIA LIMITED (XNSE:MARUTI)</v>
    <v>6</v>
    <v>7</v>
    <v>Finance</v>
    <v>8</v>
    <v>en-GB</v>
    <v>ahiwa2</v>
    <v>268435456</v>
    <v>1</v>
    <v>Powered by Refinitiv</v>
    <v>17370</v>
    <v>11289</v>
    <v>0.56850000000000001</v>
    <v>-112</v>
    <v>-8.5109999999999995E-3</v>
    <v>INR</v>
    <v>Maruti Suzuki India Limited is engaged in the manufacturing, purchasing and sale of motor vehicles, components, and spare parts. The other activities of the Company comprise facilitation of pre-owned car sales, fleet management, and car financing. The Company is focused on the business of manufacturing and sale of passenger and commercial vehicles. The Company’s vehicles are offered through three channels: NEXA, Arena, and Commercial. It also sells aftermarket parts and accessories under the brand name of Maruti Suzuki Genuine Parts, and Maruti Suzuki Genuine Accessories. Its portfolio of Nexa products includes XL6, e VITARA, Ciaz, The New Age Baleno, Ignis, Grand Vitara, FRONX, Jimny, and Invicto. Its portfolio of Arena products includes Alto K10, Brezza, Celerio, WagonR, Swift, Dzire, S-Presso, Eeco, Dezire, and Ertiga. Its portfolio of Commercial products includes Super Carry and Eeco Cargo. Its service offerings include Maruti Suzuki Smart Finance, Maruti Suzuki Leasing, and more.</v>
    <v>20171</v>
    <v>National Stock Exchange of India</v>
    <v>XNSE</v>
    <v>XNSE</v>
    <v>1, Nelson Mandela Road,, Vasant Kunj,, NEW DELHI, DELHI, 110070 IN</v>
    <v>13253</v>
    <v>Automobiles &amp; Auto Parts</v>
    <v>Stock</v>
    <v>46136.468124999999</v>
    <v>165</v>
    <v>12978</v>
    <v>5164377000000</v>
    <v>MARUTI SUZUKI INDIA LIMITED</v>
    <v>MARUTI SUZUKI INDIA LIMITED</v>
    <v>13200</v>
    <v>27.4742</v>
    <v>13160</v>
    <v>13048</v>
    <v>314402600</v>
    <v>MARUTI</v>
    <v>MARUTI SUZUKI INDIA LIMITED (XNSE:MARUTI)</v>
    <v>464098</v>
    <v>624830</v>
    <v>1981</v>
  </rv>
  <rv s="1">
    <v>166</v>
  </rv>
  <rv s="2">
    <v>https://www.bing.com/financeapi/forcetrigger?t=ahj29c&amp;q=XNSE%3aMRF&amp;form=skydnc</v>
    <v>Learn more on Bing</v>
  </rv>
  <rv s="3">
    <v>5</v>
    <v>MRF LIMITED (XNSE:MRF)</v>
    <v>6</v>
    <v>7</v>
    <v>Finance</v>
    <v>8</v>
    <v>en-GB</v>
    <v>ahj29c</v>
    <v>268435456</v>
    <v>1</v>
    <v>Powered by Refinitiv</v>
    <v>163600</v>
    <v>123455</v>
    <v>0.98929999999999996</v>
    <v>-2470</v>
    <v>-1.8349000000000001E-2</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Mrf House, Greams Road, Thousand Lights, CHENNAI, TAMIL NADU, 600006 IN</v>
    <v>135770</v>
    <v>Automobiles &amp; Auto Parts</v>
    <v>Stock</v>
    <v>46136.468113425923</v>
    <v>168</v>
    <v>131740</v>
    <v>626459300000</v>
    <v>MRF LIMITED</v>
    <v>MRF LIMITED</v>
    <v>134615</v>
    <v>25.131599999999999</v>
    <v>134615</v>
    <v>132145</v>
    <v>4241140</v>
    <v>MRF</v>
    <v>MRF LIMITED (XNSE:MRF)</v>
    <v>5538</v>
    <v>7700</v>
    <v>1960</v>
  </rv>
  <rv s="1">
    <v>169</v>
  </rv>
  <rv s="2">
    <v>https://www.bing.com/financeapi/forcetrigger?t=ahj63m&amp;q=XNSE%3aNESTLEIND&amp;form=skydnc</v>
    <v>Learn more on Bing</v>
  </rv>
  <rv s="3">
    <v>5</v>
    <v>NESTLE INDIA LIMITED (XNSE:NESTLEIND)</v>
    <v>6</v>
    <v>7</v>
    <v>Finance</v>
    <v>8</v>
    <v>en-GB</v>
    <v>ahj63m</v>
    <v>268435456</v>
    <v>1</v>
    <v>Powered by Refinitiv</v>
    <v>1430.9</v>
    <v>1084.7</v>
    <v>1.0331999999999999</v>
    <v>10.8</v>
    <v>7.6570000000000006E-3</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GURGAON, HARYANA, 122002 IN</v>
    <v>1430.9</v>
    <v>Food &amp; Tobacco</v>
    <v>Stock</v>
    <v>46136.468148148146</v>
    <v>171</v>
    <v>1409.1</v>
    <v>2542868000000</v>
    <v>NESTLE INDIA LIMITED</v>
    <v>NESTLE INDIA LIMITED</v>
    <v>1420</v>
    <v>78.287000000000006</v>
    <v>1410.5</v>
    <v>1421.3</v>
    <v>1928300000</v>
    <v>NESTLEIND</v>
    <v>NESTLE INDIA LIMITED (XNSE:NESTLEIND)</v>
    <v>3419416</v>
    <v>2842550</v>
    <v>1959</v>
  </rv>
  <rv s="1">
    <v>172</v>
  </rv>
  <rv s="2">
    <v>https://www.bing.com/financeapi/forcetrigger?t=ahhxyc&amp;q=XNSE%3aOLECTRA&amp;form=skydnc</v>
    <v>Learn more on Bing</v>
  </rv>
  <rv s="3">
    <v>5</v>
    <v>OLECTRA GREENTECH LIMITED (XNSE:OLECTRA)</v>
    <v>6</v>
    <v>7</v>
    <v>Finance</v>
    <v>8</v>
    <v>en-GB</v>
    <v>ahhxyc</v>
    <v>268435456</v>
    <v>1</v>
    <v>Powered by Refinitiv</v>
    <v>1714.2</v>
    <v>866.6</v>
    <v>0.62749999999999995</v>
    <v>-21.1</v>
    <v>-1.7239999999999998E-2</v>
    <v>INR</v>
    <v>Olectra Greentech Limited is an India-based company engaged in the manufacturing of composite polymer insulators, electric buses and electric trucks. The Company operates through two segments: Insulator division and E Vehicle division. Its E Vehicle division includes Electric buses (e-buses), and Electric trucks (e-trucks). Its range of insulators includes transmission and distribution composite insulators such as 10 - 15 kilovolts (KV), 22 - 28 KV, 33 - 36 KV, 52 - 77 KV, 110 - 132 KV, 220 - 245 KV, and 330 - 420 KV; and insulators for railways such as 25 KV 9 Ton Insulators, 25 KV Bracket Tube Insulators, and 25 KV Stay Arm Insulators. Its EVs include v2 Electric Bus, iX Electric Bus, X2 Electric Bus, CX2 Electric Coach Bus and Meghaetron Electric Tipper. The Company’s manufacturing facilities are located at Cherlapally, Hyderabad; Mahbubnagar, Telangana; and Sangareddy District, Telangana. Its subsidiaries include SSISPL-OGL-BYD Consortium and Evey Trans (GTC) Private Limited.</v>
    <v>724</v>
    <v>National Stock Exchange of India</v>
    <v>XNSE</v>
    <v>XNSE</v>
    <v>S-22,3RD FLOOR, TECHNOCRAT INDUSTRIAL ESTATE BALANAGAR, 500037 IN</v>
    <v>1234</v>
    <v>Automobiles &amp; Auto Parts</v>
    <v>Stock</v>
    <v>46136.468124999999</v>
    <v>174</v>
    <v>1190.05</v>
    <v>92726610000</v>
    <v>OLECTRA GREENTECH LIMITED</v>
    <v>OLECTRA GREENTECH LIMITED</v>
    <v>1228</v>
    <v>69.0471</v>
    <v>1223.9000000000001</v>
    <v>1202.8</v>
    <v>82080740</v>
    <v>OLECTRA</v>
    <v>OLECTRA GREENTECH LIMITED (XNSE:OLECTRA)</v>
    <v>495740</v>
    <v>1374690</v>
    <v>2000</v>
  </rv>
  <rv s="1">
    <v>175</v>
  </rv>
  <rv s="2">
    <v>https://www.bing.com/financeapi/forcetrigger?t=ahjda2&amp;q=XNSE%3aPCJEWELLER&amp;form=skydnc</v>
    <v>Learn more on Bing</v>
  </rv>
  <rv s="3">
    <v>5</v>
    <v>PC JEWELLER LIMITED (XNSE:PCJEWELLER)</v>
    <v>6</v>
    <v>7</v>
    <v>Finance</v>
    <v>8</v>
    <v>en-GB</v>
    <v>ahjda2</v>
    <v>268435456</v>
    <v>1</v>
    <v>Powered by Refinitiv</v>
    <v>19.649999999999999</v>
    <v>7.47</v>
    <v>2.9037000000000002</v>
    <v>-0.3</v>
    <v>-3.1088000000000001E-2</v>
    <v>INR</v>
    <v>PC Jeweller Limited is an India-based company. The Company is engaged in the business of trading, manufacturing and sale of gold, diamond, silver, precious stone, gold jewelry/items, diamond-studded jewelry and silver articles of various designs/specifications. It offers traditional, contemporary and combination designs across jewelry lines. The Company sells hallmarked jewelry and certified diamond jewelry. It offers various products, such as rings, earrings, pendants, gold chains, bracelets and bangles, nose pins and necklaces. Its ring type includes daily wear, engagement, solitaire, cocktail, office wear, men's, floral, hearts, round, square and triangle. The earrings type includes drop, hoops, jhumkas, sui dhaga, ear cuffs, heart, oval, round, square, triangle, and leaves and flowers. The Company's subsidiaries include PC Universal Private Limited, Luxury Products Trendsetter Private Limited, PC Jeweller Global DMCC, and PCJ Gems &amp; Jewellery Limited.</v>
    <v>723</v>
    <v>National Stock Exchange of India</v>
    <v>XNSE</v>
    <v>XNSE</v>
    <v>C-54, Preet Vihar, Vikas Marg, Preet Vihar, NEW DELHI, DELHI, 110092 IN</v>
    <v>9.6999999999999993</v>
    <v>Textiles &amp; Apparel</v>
    <v>Stock</v>
    <v>46136.468171296299</v>
    <v>177</v>
    <v>9.3000000000000007</v>
    <v>75410210000</v>
    <v>PC JEWELLER LIMITED</v>
    <v>PC JEWELLER LIMITED</v>
    <v>9.64</v>
    <v>9.6311999999999998</v>
    <v>9.65</v>
    <v>9.35</v>
    <v>9710535000</v>
    <v>PCJEWELLER</v>
    <v>PC JEWELLER LIMITED (XNSE:PCJEWELLER)</v>
    <v>31199329</v>
    <v>77437530</v>
    <v>2005</v>
  </rv>
  <rv s="1">
    <v>178</v>
  </rv>
  <rv s="2">
    <v>https://www.bing.com/financeapi/forcetrigger?t=ahjew7&amp;q=XNSE%3aPGHH&amp;form=skydnc</v>
    <v>Learn more on Bing</v>
  </rv>
  <rv s="3">
    <v>5</v>
    <v>PROCTER &amp; GAMBLE HYGIENE AND HEALTH CARE LIMITED (XNSE:PGHH)</v>
    <v>6</v>
    <v>7</v>
    <v>Finance</v>
    <v>8</v>
    <v>en-GB</v>
    <v>ahjew7</v>
    <v>268435456</v>
    <v>1</v>
    <v>Powered by Refinitiv</v>
    <v>14512.72</v>
    <v>8979</v>
    <v>0.68610000000000004</v>
    <v>-127</v>
    <v>-1.218E-2</v>
    <v>INR</v>
    <v>Procter &amp; Gamble Hygiene and Health Care Limited is an India-based fast-moving consumer goods (FMCG) company. The Company is engaged in manufacturing and selling branded packaged FMCG in the feminine care and healthcare businesses. The Company has two segments: Health care products and Hygiene products. The Health care products segment comprises ointment and creams, cough drops and tablets. The Hygiene products segment comprises feminine hygiene products and other skin care hygiene products. Its brands include Pampers, Ariel, Tide, Whisper, Gillette, Head &amp; Shoulders, Herbal Essences, Pantene, Ambi Pur, Oral-B, Vicks, Olay, and Old Spice. Its healthcare portfolio includes Vicks VapoRub, Vicks Cough Drops, Vicks Action 500 Advanced, Zzzquil, Vicks Inhaler, Vicks Xtra Strong Rub, Vicks Baby Rub, Vicks VapoRub Steam Pods, Vicks Headache Roll-on and Vicks Cough Syrup. Its Feminine hygiene portfolio includes Whisper Ultra, Whisper Choice, Whisper Ultra Skin Love, among others.</v>
    <v>421</v>
    <v>National Stock Exchange of India</v>
    <v>XNSE</v>
    <v>XNSE</v>
    <v>India P&amp;G plaza, Cardinal Gracias Road, Chakala, Andheri (E), MUMBAI, MAHARASHTRA, 400099 IN</v>
    <v>10469.5</v>
    <v>Personal &amp; Household Products &amp; Services</v>
    <v>Stock</v>
    <v>46136.468113425923</v>
    <v>180</v>
    <v>10250</v>
    <v>401961300000</v>
    <v>PROCTER &amp; GAMBLE HYGIENE AND HEALTH CARE LIMITED</v>
    <v>PROCTER &amp; GAMBLE HYGIENE AND HEALTH CARE LIMITED</v>
    <v>10427</v>
    <v>36.517099999999999</v>
    <v>10427</v>
    <v>10300</v>
    <v>32460740</v>
    <v>PGHH</v>
    <v>PROCTER &amp; GAMBLE HYGIENE AND HEALTH CARE LIMITED (XNSE:PGHH)</v>
    <v>8036</v>
    <v>18870</v>
    <v>1964</v>
  </rv>
  <rv s="1">
    <v>181</v>
  </rv>
  <rv s="2">
    <v>https://www.bing.com/financeapi/forcetrigger?t=ahjjpr&amp;q=XNSE%3aPTC&amp;form=skydnc</v>
    <v>Learn more on Bing</v>
  </rv>
  <rv s="3">
    <v>5</v>
    <v>PTC INDIA LIMITED (XNSE:PTC)</v>
    <v>6</v>
    <v>7</v>
    <v>Finance</v>
    <v>8</v>
    <v>en-GB</v>
    <v>ahjjpr</v>
    <v>268435456</v>
    <v>1</v>
    <v>Powered by Refinitiv</v>
    <v>207</v>
    <v>149.59</v>
    <v>1.075</v>
    <v>-2.2599999999999998</v>
    <v>-1.2156E-2</v>
    <v>INR</v>
    <v>PTC India Limited (PTC) is a provider of power trading solutions in India. The Company is engaged in investing in equity or extending debt to power projects in generation, transmission, distribution, fuel resources and fuel-related infrastructure. It offers solutions for generators, solutions for utilities, cross border power trade, PTC retail, consultancy / advisory solutions, energy efficiency, renewable energy, project financing, and EOI for repower. PTC offers a range of services to the utilities, including long and medium-term sales, short-term sales and power banking arrangements. It offers PTC retail solutions to public sector undertakings (PSUs) and Central PSUs, Industrial Clients, Commercial Clients, and independent power producers (IPPs) and captive power producers (CPPs). PTC is providing market advisory services to clients since inception. Its subsidiary is PTC India Financial Services Limited (PFS).</v>
    <v>115</v>
    <v>National Stock Exchange of India</v>
    <v>XNSE</v>
    <v>XNSE</v>
    <v>2nd Floor, NBCC Tower, 15 Bhikaji Cama Place, NEW DELHI, DELHI, 110066 IN</v>
    <v>187.44</v>
    <v>Electrical Utilities &amp; IPPs</v>
    <v>Stock</v>
    <v>46136.468124999999</v>
    <v>183</v>
    <v>182.69</v>
    <v>46929160000</v>
    <v>PTC INDIA LIMITED</v>
    <v>PTC INDIA LIMITED</v>
    <v>186.25</v>
    <v>6.4444999999999997</v>
    <v>185.91</v>
    <v>183.65</v>
    <v>296008300</v>
    <v>PTC</v>
    <v>PTC INDIA LIMITED (XNSE:PTC)</v>
    <v>1106224</v>
    <v>2789100</v>
    <v>1999</v>
  </rv>
  <rv s="1">
    <v>184</v>
  </rv>
  <rv s="2">
    <v>https://www.bing.com/financeapi/forcetrigger?t=ahjo52&amp;q=XNSE%3aRELIANCE&amp;form=skydnc</v>
    <v>Learn more on Bing</v>
  </rv>
  <rv s="3">
    <v>5</v>
    <v>RELIANCE INDUSTRIES LIMITED (XNSE:RELIANCE)</v>
    <v>6</v>
    <v>7</v>
    <v>Finance</v>
    <v>8</v>
    <v>en-GB</v>
    <v>ahjo52</v>
    <v>268435456</v>
    <v>1</v>
    <v>Powered by Refinitiv</v>
    <v>1611.8</v>
    <v>1267</v>
    <v>0.95530000000000004</v>
    <v>-15.6</v>
    <v>-1.1612000000000001E-2</v>
    <v>INR</v>
    <v>Reliance Industries Limited is engaged in the activities of hydrocarbon exploration and production, petroleum refining and marketing, petrochemicals, advanced materials and composites, renewables, retail and digital services. The Company’s segments include Oil to Chemicals (O2C), Oil and Gas, Retail, and Digital Services. The O2C segment covers refining, petrochemicals, fuel retailing, aviation fuel, and bulk wholesale marketing, with a portfolio that includes transportation fuels, polymers, polyesters, and elastomers. The Oil and Gas segment focuses on the exploration, development, and production of crude oil and natural gas. The Retail segment involves consumer retail and related services. The Digital Services segment provides a range of digital services. It also operates an oncology-focused healthcare platform, which focuses on technology-driven cancer care. Its subsidiaries include 7-India Convenience Retail Limited, Amante India Limited, Cover Story Clothing Limited, and others.</v>
    <v>403303</v>
    <v>National Stock Exchange of India</v>
    <v>XNSE</v>
    <v>XNSE</v>
    <v>Maker Chambers IV, Nariman Point, MUMBAI, MAHARASHTRA, 400021 IN</v>
    <v>1345.9</v>
    <v>Oil &amp; Gas</v>
    <v>Stock</v>
    <v>46136.468113425923</v>
    <v>186</v>
    <v>1325</v>
    <v>19659980000000</v>
    <v>RELIANCE INDUSTRIES LIMITED</v>
    <v>RELIANCE INDUSTRIES LIMITED</v>
    <v>1340</v>
    <v>21.5944</v>
    <v>1343.4</v>
    <v>1327.8</v>
    <v>13532810000</v>
    <v>RELIANCE</v>
    <v>RELIANCE INDUSTRIES LIMITED (XNSE:RELIANCE)</v>
    <v>11744802</v>
    <v>20048890</v>
    <v>1973</v>
  </rv>
  <rv s="1">
    <v>187</v>
  </rv>
  <rv s="9">
    <v>18</v>
    <v>SACHEEROME LIMITED (XNSE:SACHEEROME)</v>
    <v>2</v>
    <v>19</v>
    <v>Finance</v>
    <v>8</v>
    <v>en-GB</v>
    <v>ch3tmw</v>
    <v>268435456</v>
    <v>1</v>
    <v>Powered by Refinitiv</v>
    <v>430.65</v>
    <v>140.5</v>
    <v>0.45</v>
    <v>1.2750000000000001E-3</v>
    <v>INR</v>
    <v>Sacheerome Limited is an India-based company. The Company is a manufacturer and supplier of concentrated fragrances and flavors. It manufactures natural, nature identical or artificial flavors in liquid and dry form. It also manufactures seasonings in liquid top notes and powdered form. Fragrances manufactured by the Company are used in personal care &amp; wash, body care, hair care &amp; wash, fabric care, home care, baby care, fine fragrance, air care, pet care, men’s grooming, hygiene &amp; wellness and various other industries. Flavors manufactured by the Company are used in beverage, bakery, confectionery, dairy products, health &amp; nutrition, oral care, shisha, meat products, dry flavors, seasonings and others. The Company is also engaged in developing flavors for ice creams, flavored milks, and yogurts. Its oral care includes mouthwash, toothpaste, tooth serums and others. The lip care includes lip balm and lipsticks.</v>
    <v>158</v>
    <v>National Stock Exchange of India</v>
    <v>XNSE</v>
    <v>XNSE</v>
    <v>F-89-4-2 Okhla Industrial Area, Phase-1, Okhla Industrial Area Phase-I, NEW DELHI, DELHI, 110020 IN</v>
    <v>358.45</v>
    <v>Personal &amp; Household Products &amp; Services</v>
    <v>Stock</v>
    <v>46136.468206018515</v>
    <v>346.75</v>
    <v>8459155000</v>
    <v>SACHEEROME LIMITED</v>
    <v>SACHEEROME LIMITED</v>
    <v>353.5</v>
    <v>36.121200000000002</v>
    <v>353</v>
    <v>353.45</v>
    <v>22372800</v>
    <v>SACHEEROME</v>
    <v>SACHEEROME LIMITED (XNSE:SACHEEROME)</v>
    <v>17400</v>
    <v>48060</v>
    <v>1992</v>
  </rv>
  <rv s="1">
    <v>189</v>
  </rv>
  <rv s="9">
    <v>18</v>
    <v>SHILCHAR TECHNOLOGIES LIMITED (XNSE:SHILCTECH)</v>
    <v>2</v>
    <v>19</v>
    <v>Finance</v>
    <v>8</v>
    <v>en-GB</v>
    <v>cirm1h</v>
    <v>268435456</v>
    <v>1</v>
    <v>Powered by Refinitiv</v>
    <v>5370</v>
    <v>2852.5</v>
    <v>-291.5</v>
    <v>-5.4919000000000003E-2</v>
    <v>INR</v>
    <v>Shilchar Technologies Limited is an India-based company, which is engaged in the business of manufacturing of distribution and power transformers as well as electronics and telecommunication transformers. The Company operates through the Transformers and Parts segment. It provides a range of linear transformers from R-core to EI and toroidal to current transformers. These transformers can be supplied according to customer specific requirements in terms of thermal insulation, cut-offs, static-magnetic shielding, special mounting, epoxy molding, vacuum impregnation, and others. The Company also manufactures standard line transformers for R-core as well as toroidal models. Its standard line transformers are available for 9/18-volt (V) output, 12/24V output and isolation transformers for 115/230V output. The Company manufactures transformers up to 50 mega-volt amp (MVA), 132 kilo-volt (KV) class.</v>
    <v>152</v>
    <v>National Stock Exchange of India</v>
    <v>XNSE</v>
    <v>XNSE</v>
    <v>Near Muval Sub-Station,, Padra-Jambusar Highway, Gavasad, VADODARA, GUJARAT, 391410 IN</v>
    <v>5370</v>
    <v>Machinery, Equipment &amp; Components</v>
    <v>Stock</v>
    <v>46136.468206018515</v>
    <v>4945.5</v>
    <v>36601780000</v>
    <v>SHILCHAR TECHNOLOGIES LIMITED</v>
    <v>SHILCHAR TECHNOLOGIES LIMITED</v>
    <v>5335</v>
    <v>34.4315</v>
    <v>5307.8</v>
    <v>5016.3</v>
    <v>11440200</v>
    <v>SHILCTECH</v>
    <v>SHILCHAR TECHNOLOGIES LIMITED (XNSE:SHILCTECH)</v>
    <v>57406</v>
    <v>46640</v>
    <v>1986</v>
  </rv>
  <rv s="1">
    <v>191</v>
  </rv>
  <rv s="2">
    <v>https://www.bing.com/financeapi/forcetrigger?t=ahjxa2&amp;q=XNSE%3aSHK&amp;form=skydnc</v>
    <v>Learn more on Bing</v>
  </rv>
  <rv s="3">
    <v>5</v>
    <v>S H KELKAR AND COMPANY LIMITED (XNSE:SHK)</v>
    <v>6</v>
    <v>7</v>
    <v>Finance</v>
    <v>8</v>
    <v>en-GB</v>
    <v>ahjxa2</v>
    <v>268435456</v>
    <v>1</v>
    <v>Powered by Refinitiv</v>
    <v>275.5</v>
    <v>111.98</v>
    <v>1.0046999999999999</v>
    <v>-5.28</v>
    <v>-3.5789000000000001E-2</v>
    <v>INR</v>
    <v>S H Kelkar and Company Limited is an India-based fragrance and flavour company. The Company is engaged in the business of manufacturing, supplying and exporting fragrances, flavours and aroma ingredients. The Company's segments include Fragrance and Flavours. The fragrance segment includes fragrance products that are used by various consumption categories, such as personal wash, soaps and detergents, sanitizers, home cleaners, fabric care and fine fragrances, among others. Flavours segment includes flavour products that are used as raw material by producers of baked goods, dairy products, beverages and pharmaceutical products. Its natural actives product portfolio includes Camisooth, AloeHeal, Glycibright, OleoKare, and Puniblock. It offers products under SHK, Cobra, Auris, Wheel, Three Birds, and Keva brands. It provides a range of research and testing services in the areas of biotechnology and microbiology research, cosmetic research, cosmetic biotechnology, and custom synthesis.</v>
    <v>635</v>
    <v>National Stock Exchange of India</v>
    <v>XNSE</v>
    <v>XNSE</v>
    <v>LAL BAHADUR SHASTRI MARG NEAR BALRAJESHWAR TEMPLE, MULUND WEST, MAHARASHTRA, 400080 IN</v>
    <v>147.69999999999999</v>
    <v>Chemicals</v>
    <v>Stock</v>
    <v>46136.468124999999</v>
    <v>193</v>
    <v>141.18</v>
    <v>23185480000</v>
    <v>S H KELKAR AND COMPANY LIMITED</v>
    <v>S H KELKAR AND COMPANY LIMITED</v>
    <v>147.69999999999999</v>
    <v>11.5832</v>
    <v>147.53</v>
    <v>142.25</v>
    <v>138420800</v>
    <v>SHK</v>
    <v>S H KELKAR AND COMPANY LIMITED (XNSE:SHK)</v>
    <v>200453</v>
    <v>385940</v>
    <v>1955</v>
  </rv>
  <rv s="1">
    <v>194</v>
  </rv>
  <rv s="2">
    <v>https://www.bing.com/financeapi/forcetrigger?t=ahk3z2&amp;q=XNSE%3aSRTRANSFIN&amp;form=skydnc</v>
    <v>Learn more on Bing</v>
  </rv>
  <rv s="3">
    <v>5</v>
    <v>SHRIRAM FINANCE LIMITED (XNSE:SHRIRAMFIN)</v>
    <v>6</v>
    <v>7</v>
    <v>Finance</v>
    <v>8</v>
    <v>en-GB</v>
    <v>ahk3z2</v>
    <v>268435456</v>
    <v>1</v>
    <v>Powered by Refinitiv</v>
    <v>1108</v>
    <v>566.5</v>
    <v>1.0018</v>
    <v>2</v>
    <v>1.9819999999999998E-3</v>
    <v>INR</v>
    <v>Shriram Finance Limited is an India-based retail asset financing non-banking finance company (NBFC). The Company is a finance provider catering to the needs of small road transport operators and small business owners and is engaged in organized financing of pre-owned commercial vehicles and two- wheelers. It has a vertically integrated business model and offers various financing products, which include passenger commercial vehicles, loans to micro and small and medium enterprises (MSMEs), tractors and farm equipment, gold, personal loans and working capital loans. It operates in the areas of loan origination, valuation of pre-owned commercial vehicles and other assets, and collections. It has a presence in consumer finance, life insurance, general insurance, stockbroking, and distribution businesses.</v>
    <v>79872</v>
    <v>National Stock Exchange of India</v>
    <v>XNSE</v>
    <v>XNSE</v>
    <v>Wockhardt Towers, 3rd Floor, West Wing, G Block, Bandra-Kurla Complex, Bandra (East),, MUMBAI, MAHARASHTRA, 400051 IN</v>
    <v>1030.4000000000001</v>
    <v>Banking Services</v>
    <v>Stock</v>
    <v>46136.468113425923</v>
    <v>196</v>
    <v>983.55</v>
    <v>1842071000000</v>
    <v>SHRIRAM FINANCE LIMITED</v>
    <v>SHRIRAM FINANCE LIMITED</v>
    <v>1006.95</v>
    <v>20.794899999999998</v>
    <v>1009.3</v>
    <v>1011.3</v>
    <v>2352687000</v>
    <v>SHRIRAMFIN</v>
    <v>SHRIRAM FINANCE LIMITED (XNSE:SHRIRAMFIN)</v>
    <v>9263466</v>
    <v>7492100</v>
    <v>1979</v>
  </rv>
  <rv s="1">
    <v>197</v>
  </rv>
  <rv s="2">
    <v>https://www.bing.com/financeapi/forcetrigger?t=ahk1p2&amp;q=XNSE%3aSOLARINDS&amp;form=skydnc</v>
    <v>Learn more on Bing</v>
  </rv>
  <rv s="3">
    <v>5</v>
    <v>SOLAR INDUSTRIES INDIA LIMITED (XNSE:SOLARINDS)</v>
    <v>6</v>
    <v>7</v>
    <v>Finance</v>
    <v>8</v>
    <v>en-GB</v>
    <v>ahk1p2</v>
    <v>268435456</v>
    <v>1</v>
    <v>Powered by Refinitiv</v>
    <v>17820</v>
    <v>11646</v>
    <v>1.1119000000000001</v>
    <v>-691</v>
    <v>-4.3880999999999996E-2</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15995</v>
    <v>Chemicals</v>
    <v>Stock</v>
    <v>46136.468136574076</v>
    <v>199</v>
    <v>14998</v>
    <v>1148862000000</v>
    <v>SOLAR INDUSTRIES INDIA LIMITED</v>
    <v>SOLAR INDUSTRIES INDIA LIMITED</v>
    <v>15857</v>
    <v>93.8279</v>
    <v>15747</v>
    <v>15056</v>
    <v>90490050</v>
    <v>SOLARINDS</v>
    <v>SOLAR INDUSTRIES INDIA LIMITED (XNSE:SOLARINDS)</v>
    <v>284856</v>
    <v>154220</v>
    <v>1995</v>
  </rv>
  <rv s="1">
    <v>200</v>
  </rv>
  <rv s="2">
    <v>https://www.bing.com/financeapi/forcetrigger?t=ahk2fr&amp;q=XNSE%3aSOUTHBANK&amp;form=skydnc</v>
    <v>Learn more on Bing</v>
  </rv>
  <rv s="3">
    <v>5</v>
    <v>THE SOUTH INDIAN BANK LIMITED (XNSE:SOUTHBANK)</v>
    <v>6</v>
    <v>7</v>
    <v>Finance</v>
    <v>8</v>
    <v>en-GB</v>
    <v>ahk2fr</v>
    <v>268435456</v>
    <v>1</v>
    <v>Powered by Refinitiv</v>
    <v>46.84</v>
    <v>23.8</v>
    <v>1.0773999999999999</v>
    <v>-0.52</v>
    <v>-1.3282E-2</v>
    <v>INR</v>
    <v>The South Indian Bank Limited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provides financial solutions, including deposit schemes, insurance, mutual funds, dematerialization and trading services, pension plans, and loans against securities. The Bank has invested in its subsidiary, SIB Operations and Services Limited. It operates approximately 955 branches across India.</v>
    <v>9355</v>
    <v>National Stock Exchange of India</v>
    <v>XNSE</v>
    <v>XNSE</v>
    <v>T.B Road, Mission Quarters, THRICHUR, KERALA, 680001 IN</v>
    <v>39.450000000000003</v>
    <v>Banking Services</v>
    <v>Stock</v>
    <v>46136.468113425923</v>
    <v>202</v>
    <v>38.380000000000003</v>
    <v>105916200000</v>
    <v>THE SOUTH INDIAN BANK LIMITED</v>
    <v>THE SOUTH INDIAN BANK LIMITED</v>
    <v>39.19</v>
    <v>7.2736000000000001</v>
    <v>39.15</v>
    <v>38.630000000000003</v>
    <v>2617568000</v>
    <v>SOUTHBANK</v>
    <v>THE SOUTH INDIAN BANK LIMITED (XNSE:SOUTHBANK)</v>
    <v>7254221</v>
    <v>13823290</v>
    <v>1929</v>
  </rv>
  <rv s="1">
    <v>203</v>
  </rv>
  <rv s="2">
    <v>https://www.bing.com/financeapi/forcetrigger?t=ahk36h&amp;q=XNSE%3aSPMLINFRA&amp;form=skydnc</v>
    <v>Learn more on Bing</v>
  </rv>
  <rv s="3">
    <v>5</v>
    <v>SPML INFRA LIMITED (XNSE:SPMLINFRA)</v>
    <v>6</v>
    <v>7</v>
    <v>Finance</v>
    <v>8</v>
    <v>en-GB</v>
    <v>ahk36h</v>
    <v>268435456</v>
    <v>1</v>
    <v>Powered by Refinitiv</v>
    <v>323.39999999999998</v>
    <v>151.01</v>
    <v>1.6763999999999999</v>
    <v>-5.0999999999999996</v>
    <v>-2.3355999999999998E-2</v>
    <v>INR</v>
    <v>SPML Infra Ltd is an India-based infrastructure development company. The Company is engaged in the business of infrastructure development, which, inter-alia, includes water management, water infrastructure development, waste water treatment, power generation, transmission and distribution, solid waste management, and other civil infrastructures. It operates primarily in the engineering, procurement, and construction (EPC) segment. It offers integrated solutions for basic and detailed engineering, system integration, and technical specification to meet power plants requirements in terms of technology, standards, specification, and quality. It specializes in conceptualization, detailed design, project planning, procurement, erection and commissioning of thermal (coal &amp; gas) and hydropower projects, solar power plants, balance of plant projects, transmission and distribution, piping with electrical and instrumentation works. It also offers modernization services for power plants.</v>
    <v>155</v>
    <v>National Stock Exchange of India</v>
    <v>XNSE</v>
    <v>XNSE</v>
    <v>22, CAMAC STREET BLOCK-A, 3RD FLOOR, KOLKATA, WEST BENGAL, INDIA, PARK STREET, KOLKATA, KOLKATA, WES, WEST BENGAL, 700016 IN</v>
    <v>230</v>
    <v>Construction &amp; Engineering</v>
    <v>Stock</v>
    <v>46136.468113425923</v>
    <v>205</v>
    <v>211</v>
    <v>12541940000</v>
    <v>SPML INFRA LIMITED</v>
    <v>SPML INFRA LIMITED</v>
    <v>224</v>
    <v>25.880400000000002</v>
    <v>218.36</v>
    <v>213.26</v>
    <v>79671330</v>
    <v>SPMLINFRA</v>
    <v>SPML INFRA LIMITED (XNSE:SPMLINFRA)</v>
    <v>1303967</v>
    <v>776670</v>
    <v>1981</v>
  </rv>
  <rv s="1">
    <v>206</v>
  </rv>
  <rv s="2">
    <v>https://www.bing.com/financeapi/forcetrigger?t=ahju6h&amp;q=XNSE%3aSBIN&amp;form=skydnc</v>
    <v>Learn more on Bing</v>
  </rv>
  <rv s="11">
    <v>22</v>
    <v>State Bank of India (XNSE:SBIN)</v>
    <v>6</v>
    <v>23</v>
    <v>Finance</v>
    <v>8</v>
    <v>en-GB</v>
    <v>ahju6h</v>
    <v>268435456</v>
    <v>1</v>
    <v>Powered by Refinitiv</v>
    <v>1234.7</v>
    <v>755.5</v>
    <v>1.0883</v>
    <v>6.85</v>
    <v>6.2599999999999999E-3</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 STATE BANK BHAVAN MADAME CAMA ROAD NARIMAN POINT, MAHARASHTRA, 400021 IN</v>
    <v>1106</v>
    <v>Banking Services</v>
    <v>Stock</v>
    <v>46136.468113425923</v>
    <v>208</v>
    <v>1090.05</v>
    <v>9493229000000</v>
    <v>State Bank of India</v>
    <v>State Bank of India</v>
    <v>1091.3499999999999</v>
    <v>12.0185</v>
    <v>1094.25</v>
    <v>1101.0999999999999</v>
    <v>9230617000</v>
    <v>SBIN</v>
    <v>State Bank of India (XNSE:SBIN)</v>
    <v>13774745</v>
    <v>20282020</v>
  </rv>
  <rv s="1">
    <v>209</v>
  </rv>
  <rv s="2">
    <v>https://www.bing.com/financeapi/forcetrigger?t=ahjrvh&amp;q=XNSE%3aSAIL&amp;form=skydnc</v>
    <v>Learn more on Bing</v>
  </rv>
  <rv s="3">
    <v>5</v>
    <v>STEEL AUTHORITY OF INDIA LIMITED (XNSE:SAIL)</v>
    <v>6</v>
    <v>7</v>
    <v>Finance</v>
    <v>8</v>
    <v>en-GB</v>
    <v>ahjrvh</v>
    <v>268435456</v>
    <v>1</v>
    <v>Powered by Refinitiv</v>
    <v>179.07</v>
    <v>106.25</v>
    <v>1.1664000000000001</v>
    <v>2.0099999999999998</v>
    <v>1.1391E-2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179.07</v>
    <v>Metals &amp; Mining</v>
    <v>Stock</v>
    <v>46136.468113425923</v>
    <v>211</v>
    <v>176</v>
    <v>610326400000</v>
    <v>STEEL AUTHORITY OF INDIA LIMITED</v>
    <v>STEEL AUTHORITY OF INDIA LIMITED</v>
    <v>176.5</v>
    <v>26.3873</v>
    <v>176.45</v>
    <v>178.46</v>
    <v>4130525000</v>
    <v>SAIL</v>
    <v>STEEL AUTHORITY OF INDIA LIMITED (XNSE:SAIL)</v>
    <v>18292305</v>
    <v>24776390</v>
    <v>1973</v>
  </rv>
  <rv s="1">
    <v>212</v>
  </rv>
  <rv s="2">
    <v>https://www.bing.com/financeapi/forcetrigger?t=ahk7z2&amp;q=XNSE%3aSWARAJENG&amp;form=skydnc</v>
    <v>Learn more on Bing</v>
  </rv>
  <rv s="3">
    <v>5</v>
    <v>SWARAJ ENGINES LTD (XNSE:SWARAJENG)</v>
    <v>6</v>
    <v>7</v>
    <v>Finance</v>
    <v>8</v>
    <v>en-GB</v>
    <v>ahk7z2</v>
    <v>268435456</v>
    <v>1</v>
    <v>Powered by Refinitiv</v>
    <v>4720</v>
    <v>3301.3</v>
    <v>0.98770000000000002</v>
    <v>-41.6</v>
    <v>-1.0653999999999999E-2</v>
    <v>INR</v>
    <v>Swaraj Engines Limited is an India-based company, which is primarily engaged in the business of diesel engines, diesel engine components and spare parts. The Company supplies engines to the Swaraj Division of Mahindra &amp; Mahindra Ltd. (M&amp;M). It is into manufacturing and supplying diesel engines in the range of 22 horsepower (HP) to above 65 HP. It is also involved in manufacturing hi-tech engine components. It has supplied over 16,00,000 engines for fitment into Swaraj tractors.</v>
    <v>289</v>
    <v>National Stock Exchange of India</v>
    <v>XNSE</v>
    <v>XNSE</v>
    <v>PHASE IV, SAS NAGAR MOHALI, PUNJAB, 160059 IN</v>
    <v>3941</v>
    <v>Automobiles &amp; Auto Parts</v>
    <v>Stock</v>
    <v>46136.468113425923</v>
    <v>214</v>
    <v>3851.3</v>
    <v>43760170000</v>
    <v>SWARAJ ENGINES LTD</v>
    <v>SWARAJ ENGINES LTD</v>
    <v>3941</v>
    <v>23.904699999999998</v>
    <v>3904.6</v>
    <v>3863</v>
    <v>12147470</v>
    <v>SWARAJENG</v>
    <v>SWARAJ ENGINES LTD (XNSE:SWARAJENG)</v>
    <v>15679</v>
    <v>74400</v>
    <v>1985</v>
  </rv>
  <rv s="1">
    <v>215</v>
  </rv>
  <rv s="9">
    <v>18</v>
    <v>Systango Technologies Ltd (XNSE:SYSTANGO)</v>
    <v>2</v>
    <v>19</v>
    <v>Finance</v>
    <v>8</v>
    <v>en-GB</v>
    <v>c94qpr</v>
    <v>268435456</v>
    <v>1</v>
    <v>Powered by Refinitiv</v>
    <v>411</v>
    <v>203</v>
    <v>-1.95</v>
    <v>-7.1699999999999993E-3</v>
    <v>INR</v>
    <v>Systango Technologies Limited is an India-based company, which is engaged in supplying software and development services. Its solutions include Custom AI Agents, Intelligent Document Processing, Generative BI, Learning Management System, Wealth Management Platform, and AI-Powered DeFi Solution. Its services include Generative AI, Blockchain and Web3, Rust Development, Cloud Engineering, DevOps, Data Engineering, and Staff Augmentation. Its Generative AI services include AI Model Architecting, Natural Language Processing, Generative AI Integration, and Upgrade and Maintenance. Its core wealth management platform features include Al-Driven Investment Insights, Automated Portfolio Management, Robust Client Onboarding, Comprehensive Client Portal, White-Label Solutions, Advanced Analytics and Reporting, and Robust Security. The Company offers full-cycle staff augmentation solutions, such as Project Manager, Business Analyst, UI/UX Designer, Backend Developer, and Frontend Developer.</v>
    <v>276</v>
    <v>National Stock Exchange of India</v>
    <v>XNSE</v>
    <v>XNSE</v>
    <v>Ring Road, Stp-I Crystal It Park, Third Floor (Lhs), INDORE, MADHYA PRADESH, 452001 IN</v>
    <v>271.10000000000002</v>
    <v>Software &amp; IT Services</v>
    <v>Stock</v>
    <v>46136.468136574076</v>
    <v>266</v>
    <v>4375703000</v>
    <v>Systango Technologies Ltd</v>
    <v>Systango Technologies Ltd</v>
    <v>270.60000000000002</v>
    <v>12.245200000000001</v>
    <v>271.95</v>
    <v>270</v>
    <v>14668800</v>
    <v>SYSTANGO</v>
    <v>Systango Technologies Ltd (XNSE:SYSTANGO)</v>
    <v>9600</v>
    <v>17120</v>
    <v>2004</v>
  </rv>
  <rv s="1">
    <v>217</v>
  </rv>
  <rv s="2">
    <v>https://www.bing.com/financeapi/forcetrigger?t=ah8zkr&amp;q=XBOM%3a506854&amp;form=skydnc</v>
    <v>Learn more on Bing</v>
  </rv>
  <rv s="10">
    <v>20</v>
    <v>TANFAC INDUSTRIES LIMITED (XBOM:506854)</v>
    <v>6</v>
    <v>21</v>
    <v>Finance</v>
    <v>4</v>
    <v>en-GB</v>
    <v>ah8zkr</v>
    <v>268435456</v>
    <v>1</v>
    <v>Powered by Refinitiv</v>
    <v>2585</v>
    <v>1410</v>
    <v>1.6142000000000001</v>
    <v>47.05</v>
    <v>1.9181E-2</v>
    <v>13.45</v>
    <v>5.4090000000000006E-3</v>
    <v>INR</v>
    <v>Tanfac Industries Limited is an India-based joint-sector company promoted by Anupam Rasayan India Limited and Tamil Nadu Development Corporation. The Company is engaged in the business of chemicals. It produces hydrofluoric acid and organic and inorganic fluorine-based products. Its products include anhydrous hydrofluoric acid, diluted hydrofluoric acid, potassium fluoride, potassium bifluoride, boron trifluoride complexes, aluminum fluoride, sulphuric acid, oleum, calcium sulphate (gypsum) and iso butyl acetophenone. Its anhydrous hydrofluoric acid product has applications in manufacturing of fluorocarbons and refrigerant gas, manufacturing of lithium batteries and others. It serves various market segments, including solar cells, steel surfacing, refrigerant, glass etching, agrochemicals, fluoropolymers, lithium batteries and pharmaceuticals. The Company has its manufacturing facilities in Cuddalore, Tamil Nadu, and supplies its products to over 12 countries catering to 150 customers.</v>
    <v>180</v>
    <v>Bombay Stock Exchange</v>
    <v>XBOM</v>
    <v>XBOM</v>
    <v>14 SIPCOT INDUSTRIAL COMPLEXKUDIKADU,, CUDDALORE, TAMIL NADU, 607005 IN</v>
    <v>2509</v>
    <v>Chemicals</v>
    <v>Stock</v>
    <v>46136.438576388886</v>
    <v>219</v>
    <v>2407.0500000000002</v>
    <v>45902950000</v>
    <v>TANFAC INDUSTRIES LIMITED</v>
    <v>TANFAC INDUSTRIES LIMITED</v>
    <v>2466.9499999999998</v>
    <v>66.641599999999997</v>
    <v>2452.9499999999998</v>
    <v>2500</v>
    <v>2500</v>
    <v>19950000</v>
    <v>506854</v>
    <v>TANFAC INDUSTRIES LIMITED (XBOM:506854)</v>
    <v>8803</v>
    <v>23250</v>
    <v>1972</v>
  </rv>
  <rv s="1">
    <v>220</v>
  </rv>
  <rv s="2">
    <v>https://www.bing.com/financeapi/forcetrigger?t=ahk9xm&amp;q=XNSE%3aTATAMOTORS&amp;form=skydnc</v>
    <v>Learn more on Bing</v>
  </rv>
  <rv s="3">
    <v>5</v>
    <v>TATA MOTORS PASSENGER VEHICLES LIMITED (XNSE:TMPV)</v>
    <v>6</v>
    <v>7</v>
    <v>Finance</v>
    <v>8</v>
    <v>en-GB</v>
    <v>ahk9xm</v>
    <v>268435456</v>
    <v>1</v>
    <v>Powered by Refinitiv</v>
    <v>450.4</v>
    <v>294.3</v>
    <v>1.3808</v>
    <v>-1.45</v>
    <v>-4.1199999999999995E-3</v>
    <v>INR</v>
    <v>Tata Motors Passenger Vehicles Limited, formerly Tata Motors Limited, is an India-based company. The Company is engaged in the passenger vehicles business, including its investments in the electric vehicle business and Jaguar Land Rover (JLR) operations. Its portfolio, spanning multiple body styles and fuel types, caters to diverse mobility needs. Its passenger vehicles include Curvv, Nexon iCNG, Tiago &amp; Tigor 2025, Harrier &amp; Safari Stealth, Altroz, Punch, and others. The Company’s electric vehicles include Curvv.ev, Nexon.ev, Tiago.ev, Punch.ev, and Xpres-T.</v>
    <v>86259</v>
    <v>National Stock Exchange of India</v>
    <v>XNSE</v>
    <v>XNSE</v>
    <v>A Block, Shivasagar Estate, Dr. Annie Besant Road, Worli, MUMBAI, MAHARASHTRA, 400018 IN</v>
    <v>355.85</v>
    <v>Automobiles &amp; Auto Parts</v>
    <v>Stock</v>
    <v>46136.468113425923</v>
    <v>222</v>
    <v>347.5</v>
    <v>1287895000000</v>
    <v>TATA MOTORS PASSENGER VEHICLES LIMITED</v>
    <v>TATA MOTORS PASSENGER VEHICLES LIMITED</v>
    <v>353.65</v>
    <v>228.74109999999999</v>
    <v>351.95</v>
    <v>350.5</v>
    <v>3682436000</v>
    <v>TMPV</v>
    <v>TATA MOTORS PASSENGER VEHICLES LIMITED (XNSE:TMPV)</v>
    <v>5722477</v>
    <v>11063300</v>
    <v>1945</v>
  </rv>
  <rv s="1">
    <v>223</v>
  </rv>
  <rv s="2">
    <v>https://www.bing.com/financeapi/forcetrigger?t=ahka4c&amp;q=XNSE%3aTATAPOWER&amp;form=skydnc</v>
    <v>Learn more on Bing</v>
  </rv>
  <rv s="3">
    <v>5</v>
    <v>THE TATA POWER COMPANY LIMITED (XNSE:TATAPOWER)</v>
    <v>6</v>
    <v>7</v>
    <v>Finance</v>
    <v>8</v>
    <v>en-GB</v>
    <v>ahka4c</v>
    <v>268435456</v>
    <v>1</v>
    <v>Powered by Refinitiv</v>
    <v>440.8</v>
    <v>342.5</v>
    <v>1.1301000000000001</v>
    <v>4.7</v>
    <v>1.0923E-2</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436.7</v>
    <v>Electrical Utilities &amp; IPPs</v>
    <v>Stock</v>
    <v>46136.468113425923</v>
    <v>225</v>
    <v>426</v>
    <v>1177323000000</v>
    <v>THE TATA POWER COMPANY LIMITED</v>
    <v>THE TATA POWER COMPANY LIMITED</v>
    <v>431</v>
    <v>36.677599999999998</v>
    <v>430.3</v>
    <v>435</v>
    <v>3195340000</v>
    <v>TATAPOWER</v>
    <v>THE TATA POWER COMPANY LIMITED (XNSE:TATAPOWER)</v>
    <v>6780544</v>
    <v>10971250</v>
    <v>1919</v>
  </rv>
  <rv s="1">
    <v>226</v>
  </rv>
  <rv s="2">
    <v>https://www.bing.com/financeapi/forcetrigger?t=ahkaa2&amp;q=XNSE%3aTATASTEEL&amp;form=skydnc</v>
    <v>Learn more on Bing</v>
  </rv>
  <rv s="3">
    <v>5</v>
    <v>TATA STEEL LIMITED (XNSE:TATASTEEL)</v>
    <v>6</v>
    <v>7</v>
    <v>Finance</v>
    <v>8</v>
    <v>en-GB</v>
    <v>ahkaa2</v>
    <v>268435456</v>
    <v>1</v>
    <v>Powered by Refinitiv</v>
    <v>216.45</v>
    <v>137.05000000000001</v>
    <v>1.0598000000000001</v>
    <v>-0.84</v>
    <v>-3.9829999999999996E-3</v>
    <v>INR</v>
    <v>Tata Steel Limited is an India-based global steel company. The Company and its subsidiaries have presence across the entire value chain of steel manufacturing from mining and processing iron ore and coal to producing and distributing finished products. The Company offers a range of steel products including a portfolio of high value-added downstream products such as hot rolled, cold rolled, coated steel, rebars, wire rods, tubes and wires. Its segments include Tata Steel India, Neelachal Ispat Nigam Limited, Other Indian Operations, Tata Steel Netherlands Operations, Tata Steel UK Operations, Other Trade Related Operations, South East Asian Operations and Rest of the World. It serves customers across diverse markets including construction and infrastructure, construction retail, automotive and ancillaries, energy, engineering goods, packaging, and downstream. Its products include Automotive Steels, Galvano, Tata Agrico (Agriculture, Construction, and Hand Tools), Tata Astrum and others.</v>
    <v>115788</v>
    <v>National Stock Exchange of India</v>
    <v>XNSE</v>
    <v>XNSE</v>
    <v>BOMBAY HOUSE, 24, HOMI MODY STREET FORT, MUMBAI, MAHARASHTRA, 400001 IN</v>
    <v>212</v>
    <v>Metals &amp; Mining</v>
    <v>Stock</v>
    <v>46136.468113425923</v>
    <v>228</v>
    <v>208.6</v>
    <v>2279118000000</v>
    <v>TATA STEEL LIMITED</v>
    <v>TATA STEEL LIMITED</v>
    <v>211</v>
    <v>28.5336</v>
    <v>210.91</v>
    <v>210.07</v>
    <v>12485450000</v>
    <v>TATASTEEL</v>
    <v>TATA STEEL LIMITED (XNSE:TATASTEEL)</v>
    <v>22379072</v>
    <v>27176860</v>
    <v>1907</v>
  </rv>
  <rv s="1">
    <v>229</v>
  </rv>
  <rv s="2">
    <v>https://www.bing.com/financeapi/forcetrigger?t=ahkdxm&amp;q=XNSE%3aTITAN&amp;form=skydnc</v>
    <v>Learn more on Bing</v>
  </rv>
  <rv s="3">
    <v>5</v>
    <v>TITAN COMPANY LIMITED (XNSE:TITAN)</v>
    <v>6</v>
    <v>7</v>
    <v>Finance</v>
    <v>8</v>
    <v>en-GB</v>
    <v>ahkdxm</v>
    <v>268435456</v>
    <v>1</v>
    <v>Powered by Refinitiv</v>
    <v>4554</v>
    <v>3245.5</v>
    <v>1.1856</v>
    <v>-46.5</v>
    <v>-1.0434000000000001E-2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4486.6000000000004</v>
    <v>Textiles &amp; Apparel</v>
    <v>Stock</v>
    <v>46136.468113425923</v>
    <v>231</v>
    <v>4361.3999999999996</v>
    <v>3760362000000</v>
    <v>TITAN COMPANY LIMITED</v>
    <v>TITAN COMPANY LIMITED</v>
    <v>4475.5</v>
    <v>82.078599999999994</v>
    <v>4456.5</v>
    <v>4410</v>
    <v>887045300</v>
    <v>TITAN</v>
    <v>TITAN COMPANY LIMITED (XNSE:TITAN)</v>
    <v>958536</v>
    <v>1486100</v>
    <v>1984</v>
  </rv>
  <rv s="1">
    <v>232</v>
  </rv>
  <rv s="2">
    <v>https://www.bing.com/financeapi/forcetrigger?t=ahk5p2&amp;q=XNSE%3aSUNCLAYLTD&amp;form=skydnc</v>
    <v>Learn more on Bing</v>
  </rv>
  <rv s="3">
    <v>5</v>
    <v>TVS HOLDINGS LIMITED (XNSE:TVSHLTD)</v>
    <v>6</v>
    <v>7</v>
    <v>Finance</v>
    <v>8</v>
    <v>en-GB</v>
    <v>ahk5p2</v>
    <v>268435456</v>
    <v>1</v>
    <v>Powered by Refinitiv</v>
    <v>16297</v>
    <v>8805</v>
    <v>0.70740000000000003</v>
    <v>-183</v>
    <v>-1.2702999999999999E-2</v>
    <v>INR</v>
    <v>TVS Holdings Limited is an India-based company engaged in the business of automotive components and investing activities. The Company's segments include Automotive components, Automotive Vehicles &amp; Parts, Financial Services, and Others. It manufactures aluminum pressure die castings for heavy commercial vehicles, passenger cars and two-wheelers. Its product range includes flywheel housing, gear housing, clutch housing, filter heads, air connectors, lube oil cooler cover assembly, filtration module casting, turbocharger, compressor cover assembly, charge air pipe, intake manifold, cover coolant duct for the truck segment; cylinder head, case transaxle assembly, oil pan, chain case, cylinder head cover, adaptor oil filter, fuel pump housing, fork gear shift, starter housing; crankcase, cylinder head, cylinder barrel, wheel hub for powered two wheelers and brake equipment valve bodies. It is a supplier of aluminum die castings to the automotive, and non-automotive sectors.</v>
    <v>56</v>
    <v>National Stock Exchange of India</v>
    <v>XNSE</v>
    <v>XNSE</v>
    <v>CHAITANYA,NO.12,KHADERNAWAZKHANROAD,NUNGAMBAKKAM,, TAMIL NADU, 600006 IN</v>
    <v>14406</v>
    <v>Automobiles &amp; Auto Parts</v>
    <v>Stock</v>
    <v>46136.468171296299</v>
    <v>234</v>
    <v>14150</v>
    <v>287741000000</v>
    <v>TVS HOLDINGS LIMITED</v>
    <v>TVS HOLDINGS LIMITED</v>
    <v>14406</v>
    <v>18.873999999999999</v>
    <v>14406</v>
    <v>14223</v>
    <v>2367154000</v>
    <v>TVSHLTD</v>
    <v>TVS HOLDINGS LIMITED (XNSE:TVSHLTD)</v>
    <v>2999</v>
    <v>7010</v>
    <v>1962</v>
  </rv>
  <rv s="1">
    <v>235</v>
  </rv>
  <rv s="2">
    <v>https://www.bing.com/financeapi/forcetrigger?t=ahkfz2&amp;q=XNSE%3aTVSMOTOR&amp;form=skydnc</v>
    <v>Learn more on Bing</v>
  </rv>
  <rv s="3">
    <v>5</v>
    <v>TVS MOTOR COMPANY LIMITED (XNSE:TVSMOTOR)</v>
    <v>6</v>
    <v>7</v>
    <v>Finance</v>
    <v>8</v>
    <v>en-GB</v>
    <v>ahkfz2</v>
    <v>268435456</v>
    <v>1</v>
    <v>Powered by Refinitiv</v>
    <v>3970</v>
    <v>2640</v>
    <v>0.45929999999999999</v>
    <v>-24.8</v>
    <v>-7.0589999999999993E-3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3543.3</v>
    <v>Automobiles &amp; Auto Parts</v>
    <v>Stock</v>
    <v>46136.468124999999</v>
    <v>237</v>
    <v>3462.7</v>
    <v>1783511000000</v>
    <v>TVS MOTOR COMPANY LIMITED</v>
    <v>TVS MOTOR COMPANY LIMITED</v>
    <v>3513</v>
    <v>57.841000000000001</v>
    <v>3513</v>
    <v>3488.2</v>
    <v>2375309000</v>
    <v>TVSMOTOR</v>
    <v>TVS MOTOR COMPANY LIMITED (XNSE:TVSMOTOR)</v>
    <v>734340</v>
    <v>794920</v>
    <v>1992</v>
  </rv>
  <rv s="1">
    <v>238</v>
  </rv>
  <rv s="2">
    <v>https://www.bing.com/financeapi/forcetrigger?t=ahkjqh&amp;q=XNSE%3aVBL&amp;form=skydnc</v>
    <v>Learn more on Bing</v>
  </rv>
  <rv s="3">
    <v>5</v>
    <v>VARUN BEVERAGES LIMITED (XNSE:VBL)</v>
    <v>6</v>
    <v>7</v>
    <v>Finance</v>
    <v>8</v>
    <v>en-GB</v>
    <v>ahkjqh</v>
    <v>268435456</v>
    <v>1</v>
    <v>Powered by Refinitiv</v>
    <v>562</v>
    <v>381</v>
    <v>1.1389</v>
    <v>6.2</v>
    <v>1.2803E-2</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 It has approximately 36 manufacturing plants in India and over 12 manufacturing plants in international geographies. Its subsidiaries include Varun Beverages (Nepal) Private Limited, The Beverage Company Proprietary Limited, and Varun Beverages Lanka (Private) Limited, and others.</v>
    <v>10654</v>
    <v>National Stock Exchange of India</v>
    <v>XNSE</v>
    <v>XNSE</v>
    <v>F-2/7 PHASE I, OKHLA INDUSTRIAL AREA, DELHI, 110020 IN</v>
    <v>492.9</v>
    <v>Beverages</v>
    <v>Stock</v>
    <v>46136.468148148146</v>
    <v>240</v>
    <v>481.3</v>
    <v>1695053000000</v>
    <v>VARUN BEVERAGES LIMITED</v>
    <v>VARUN BEVERAGES LIMITED</v>
    <v>484.4</v>
    <v>54.642000000000003</v>
    <v>484.25</v>
    <v>490.45</v>
    <v>3382094000</v>
    <v>VBL</v>
    <v>VARUN BEVERAGES LIMITED (XNSE:VBL)</v>
    <v>13173088</v>
    <v>7654150</v>
    <v>1995</v>
  </rv>
  <rv s="1">
    <v>241</v>
  </rv>
  <rv s="2">
    <v>https://www.bing.com/financeapi/forcetrigger?t=a1u3rw&amp;q=XNAS%3aGOOGL&amp;form=skydnc</v>
    <v>Learn more on Bing</v>
  </rv>
  <rv s="3">
    <v>5</v>
    <v>ALPHABET INC. (XNAS:GOOGL)</v>
    <v>6</v>
    <v>24</v>
    <v>Finance</v>
    <v>25</v>
    <v>en-GB</v>
    <v>a1u3rw</v>
    <v>268435456</v>
    <v>1</v>
    <v>Powered by Refinitiv</v>
    <v>349</v>
    <v>147.84</v>
    <v>1.1479999999999999</v>
    <v>-0.43</v>
    <v>-1.2670000000000001E-3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341.96</v>
    <v>Software &amp; IT Services</v>
    <v>Stock</v>
    <v>46135.999704825779</v>
    <v>243</v>
    <v>336.18</v>
    <v>4099552330000</v>
    <v>ALPHABET INC.</v>
    <v>ALPHABET INC.</v>
    <v>341.18</v>
    <v>31.349599999999999</v>
    <v>339.32</v>
    <v>338.89</v>
    <v>12097000000</v>
    <v>GOOGL</v>
    <v>ALPHABET INC. (XNAS:GOOGL)</v>
    <v>240812</v>
    <v>27740066</v>
    <v>2015</v>
  </rv>
  <rv s="1">
    <v>244</v>
  </rv>
  <rv s="2">
    <v>https://www.bing.com/financeapi/forcetrigger?t=a1nhlh&amp;q=XNAS%3aAMZN&amp;form=skydnc</v>
    <v>Learn more on Bing</v>
  </rv>
  <rv s="3">
    <v>5</v>
    <v>AMAZON.COM, INC. (XNAS:AMZN)</v>
    <v>6</v>
    <v>24</v>
    <v>Finance</v>
    <v>25</v>
    <v>en-GB</v>
    <v>a1nhlh</v>
    <v>268435456</v>
    <v>1</v>
    <v>Powered by Refinitiv</v>
    <v>258.79000000000002</v>
    <v>178.85</v>
    <v>1.4351</v>
    <v>-0.28000000000000003</v>
    <v>-1.096E-3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258.79000000000002</v>
    <v>Diversified Retail</v>
    <v>Stock</v>
    <v>46135.999949606252</v>
    <v>246</v>
    <v>253.07</v>
    <v>2743229801200</v>
    <v>AMAZON.COM, INC.</v>
    <v>AMAZON.COM, INC.</v>
    <v>255.39</v>
    <v>35.564900000000002</v>
    <v>255.36</v>
    <v>255.08</v>
    <v>10754390000</v>
    <v>AMZN</v>
    <v>AMAZON.COM, INC. (XNAS:AMZN)</v>
    <v>1337770</v>
    <v>45521357</v>
    <v>1996</v>
  </rv>
  <rv s="1">
    <v>247</v>
  </rv>
  <rv s="2">
    <v>https://www.bing.com/financeapi/forcetrigger?t=a1mou2&amp;q=XNAS%3aAAPL&amp;form=skydnc</v>
    <v>Learn more on Bing</v>
  </rv>
  <rv s="3">
    <v>5</v>
    <v>APPLE INC. (XNAS:AAPL)</v>
    <v>6</v>
    <v>24</v>
    <v>Finance</v>
    <v>25</v>
    <v>en-GB</v>
    <v>a1mou2</v>
    <v>268435456</v>
    <v>1</v>
    <v>Powered by Refinitiv</v>
    <v>288.62</v>
    <v>193.25</v>
    <v>1.0869</v>
    <v>0.26</v>
    <v>9.5180000000000004E-4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275.77</v>
    <v>Computers, Phones &amp; Household Electronics</v>
    <v>Stock</v>
    <v>46135.999977753905</v>
    <v>249</v>
    <v>271.64999999999998</v>
    <v>4014264110200</v>
    <v>APPLE INC.</v>
    <v>APPLE INC.</v>
    <v>275.04500000000002</v>
    <v>34.738500000000002</v>
    <v>273.17</v>
    <v>273.43</v>
    <v>14681140000</v>
    <v>AAPL</v>
    <v>APPLE INC. (XNAS:AAPL)</v>
    <v>259420</v>
    <v>43284430</v>
    <v>1977</v>
  </rv>
  <rv s="1">
    <v>250</v>
  </rv>
  <rv s="2">
    <v>https://www.bing.com/financeapi/forcetrigger?t=a1nz8m&amp;q=XNAS%3aAVGO&amp;form=skydnc</v>
    <v>Learn more on Bing</v>
  </rv>
  <rv s="3">
    <v>5</v>
    <v>BROADCOM INC. (XNAS:AVGO)</v>
    <v>6</v>
    <v>24</v>
    <v>Finance</v>
    <v>25</v>
    <v>en-GB</v>
    <v>a1nz8m</v>
    <v>268435456</v>
    <v>1</v>
    <v>Powered by Refinitiv</v>
    <v>429.31</v>
    <v>178.29499999999999</v>
    <v>1.4375</v>
    <v>-2.71</v>
    <v>-6.4120000000000002E-3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429.31</v>
    <v>Semiconductors &amp; Semiconductor Equipment</v>
    <v>Stock</v>
    <v>46135.999959941408</v>
    <v>252</v>
    <v>417.8</v>
    <v>1988276479920</v>
    <v>BROADCOM INC.</v>
    <v>BROADCOM INC.</v>
    <v>422.39</v>
    <v>81.9726</v>
    <v>422.65</v>
    <v>419.94</v>
    <v>4734668000</v>
    <v>AVGO</v>
    <v>BROADCOM INC. (XNAS:AVGO)</v>
    <v>319250</v>
    <v>23592617</v>
    <v>2018</v>
  </rv>
  <rv s="1">
    <v>253</v>
  </rv>
  <rv s="2">
    <v>https://www.bing.com/financeapi/forcetrigger?t=a1slm7&amp;q=XNAS%3aMETA&amp;form=skydnc</v>
    <v>Learn more on Bing</v>
  </rv>
  <rv s="3">
    <v>5</v>
    <v>META PLATFORMS, INC. (XNAS:META)</v>
    <v>6</v>
    <v>24</v>
    <v>Finance</v>
    <v>25</v>
    <v>en-GB</v>
    <v>a1slm7</v>
    <v>268435456</v>
    <v>1</v>
    <v>Powered by Refinitiv</v>
    <v>796.25</v>
    <v>517.5</v>
    <v>1.3188</v>
    <v>-15.57</v>
    <v>-2.3075999999999999E-2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669.56</v>
    <v>Software &amp; IT Services</v>
    <v>Stock</v>
    <v>46135.999934351559</v>
    <v>255</v>
    <v>653.04999999999995</v>
    <v>1673201520450</v>
    <v>META PLATFORMS, INC.</v>
    <v>META PLATFORMS, INC.</v>
    <v>663.7</v>
    <v>22.55</v>
    <v>674.72</v>
    <v>659.15</v>
    <v>2538423000</v>
    <v>META</v>
    <v>META PLATFORMS, INC. (XNAS:META)</v>
    <v>175716</v>
    <v>16952557</v>
    <v>2004</v>
  </rv>
  <rv s="1">
    <v>256</v>
  </rv>
  <rv s="2">
    <v>https://en.wikipedia.org/wiki/Microsoft</v>
    <v>Wikipedia</v>
  </rv>
  <rv s="5">
    <v>43</v>
    <v>258</v>
  </rv>
  <rv s="6">
    <v>14</v>
    <v>https://www.bing.com/th?id=AMMS_e6e837c7bf3a77408619758b7447855a&amp;qlt=95</v>
    <v>259</v>
    <v>0</v>
    <v>https://www.bing.com/images/search?form=xlimg&amp;q=microsoft</v>
    <v>Image of MICROSOFT CORPORATION</v>
  </rv>
  <rv s="2">
    <v>https://www.bing.com/financeapi/forcetrigger?t=a1xzim&amp;q=XNAS%3aMSFT&amp;form=skydnc</v>
    <v>Learn more on Bing</v>
  </rv>
  <rv s="7">
    <v>10</v>
    <v>MICROSOFT CORPORATION (XNAS:MSFT)</v>
    <v>12</v>
    <v>26</v>
    <v>Finance</v>
    <v>25</v>
    <v>en-GB</v>
    <v>a1xzim</v>
    <v>268435456</v>
    <v>1</v>
    <v>Powered by Refinitiv</v>
    <v>555.45000000000005</v>
    <v>356.28</v>
    <v>1.1201000000000001</v>
    <v>-17.170000000000002</v>
    <v>-3.9661000000000002E-2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423.66</v>
    <v>260</v>
    <v>Software &amp; IT Services</v>
    <v>Stock</v>
    <v>46135.999982557812</v>
    <v>261</v>
    <v>411.4101</v>
    <v>3087205256750</v>
    <v>MICROSOFT CORPORATION</v>
    <v>MICROSOFT CORPORATION</v>
    <v>419.88499999999999</v>
    <v>26.012899999999998</v>
    <v>432.92</v>
    <v>415.75</v>
    <v>7425629000</v>
    <v>MSFT</v>
    <v>MICROSOFT CORPORATION (XNAS:MSFT)</v>
    <v>597234</v>
    <v>34516265</v>
    <v>1993</v>
  </rv>
  <rv s="1">
    <v>262</v>
  </rv>
  <rv s="2">
    <v>https://www.bing.com/financeapi/forcetrigger?t=a1yv52&amp;q=XNAS%3aNVDA&amp;form=skydnc</v>
    <v>Learn more on Bing</v>
  </rv>
  <rv s="3">
    <v>5</v>
    <v>NVIDIA CORPORATION (XNAS:NVDA)</v>
    <v>6</v>
    <v>24</v>
    <v>Finance</v>
    <v>25</v>
    <v>en-GB</v>
    <v>a1yv52</v>
    <v>268435456</v>
    <v>1</v>
    <v>Powered by Refinitiv</v>
    <v>212.18989999999999</v>
    <v>103.11</v>
    <v>2.2823000000000002</v>
    <v>-2.86</v>
    <v>-1.4123000000000002E-2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203.82900000000001</v>
    <v>Semiconductors &amp; Semiconductor Equipment</v>
    <v>Stock</v>
    <v>46135.999956978907</v>
    <v>264</v>
    <v>197.22059999999999</v>
    <v>4851252000000</v>
    <v>NVIDIA CORPORATION</v>
    <v>NVIDIA CORPORATION</v>
    <v>202.46</v>
    <v>40.728299999999997</v>
    <v>202.5</v>
    <v>199.64</v>
    <v>24300000000</v>
    <v>NVDA</v>
    <v>NVIDIA CORPORATION (XNAS:NVDA)</v>
    <v>3071048</v>
    <v>155943478</v>
    <v>1998</v>
  </rv>
  <rv s="1">
    <v>265</v>
  </rv>
  <rv s="2">
    <v>https://www.bing.com/financeapi/forcetrigger?t=a21icw&amp;q=XNAS%3aPYPL&amp;form=skydnc</v>
    <v>Learn more on Bing</v>
  </rv>
  <rv s="3">
    <v>5</v>
    <v>PAYPAL HOLDINGS, INC. (XNAS:PYPL)</v>
    <v>6</v>
    <v>24</v>
    <v>Finance</v>
    <v>25</v>
    <v>en-GB</v>
    <v>a21icw</v>
    <v>268435456</v>
    <v>1</v>
    <v>Powered by Refinitiv</v>
    <v>79.5</v>
    <v>38.46</v>
    <v>1.403</v>
    <v>-1.47</v>
    <v>-2.87E-2</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23800</v>
    <v>Nasdaq Stock Market</v>
    <v>XNAS</v>
    <v>XNAS</v>
    <v>2211 N 1st St, SAN JOSE, CA, 95131 US</v>
    <v>50.88</v>
    <v>Professional &amp; Commercial Services</v>
    <v>Stock</v>
    <v>46135.999864814061</v>
    <v>267</v>
    <v>49.17</v>
    <v>44758781500</v>
    <v>PAYPAL HOLDINGS, INC.</v>
    <v>PAYPAL HOLDINGS, INC.</v>
    <v>50.744999999999997</v>
    <v>9.1776</v>
    <v>51.22</v>
    <v>49.75</v>
    <v>899674000</v>
    <v>PYPL</v>
    <v>PAYPAL HOLDINGS, INC. (XNAS:PYPL)</v>
    <v>29717</v>
    <v>15277051</v>
    <v>2015</v>
  </rv>
  <rv s="1">
    <v>268</v>
  </rv>
  <rv s="2">
    <v>https://www.bing.com/financeapi/forcetrigger?t=ahgz6h&amp;q=XNSE%3aASIANPAINT&amp;form=skydnc</v>
    <v>Learn more on Bing</v>
  </rv>
  <rv s="3">
    <v>5</v>
    <v>ASIAN PAINTS LIMITED (XNSE:ASIANPAINT)</v>
    <v>6</v>
    <v>7</v>
    <v>Finance</v>
    <v>8</v>
    <v>en-GB</v>
    <v>ahgz6h</v>
    <v>268435456</v>
    <v>1</v>
    <v>Powered by Refinitiv</v>
    <v>2985.7</v>
    <v>2115</v>
    <v>1.2332000000000001</v>
    <v>-36.299999999999997</v>
    <v>-1.4397E-2</v>
    <v>INR</v>
    <v>Asian Paints Limited is an India-based company, which is engaged in the business of manufacturing, selling and distribution of paints, coatings, products related to home decor, bath fittings and providing related services. The Company operates through the Paints and Home Decor segment. The Company manufactures paints, varnishes, enamels, and thinners. It also manufactures organic and inorganic chemical compounds; metal sanitary ware such as bath, sinks, washbasins and similar articles and cosmetics and toiletries. Its Home Decor business offers modular kitchens and wardrobes, bath fittings and sanitaryware, decorative lightnings, unplasticized polyvinyl chloride (uPVC) windows and doors, wall coverings, furniture, furnishing, and rugs. It offers a range of services, such as interior design service, safe painting service, wood solutions, waterproofing solutions, color consultancy online and contractor finder services.</v>
    <v>11111</v>
    <v>National Stock Exchange of India</v>
    <v>XNSE</v>
    <v>XNSE</v>
    <v>6A &amp; 6B, Shantinagar, Santacruz (East), MUMBAI, MAHARASHTRA, 400055 IN</v>
    <v>2538.9</v>
    <v>Chemicals</v>
    <v>Stock</v>
    <v>46136.468101851853</v>
    <v>270</v>
    <v>2470.6999999999998</v>
    <v>2766744000000</v>
    <v>ASIAN PAINTS LIMITED</v>
    <v>ASIAN PAINTS LIMITED</v>
    <v>2521.4</v>
    <v>61.940600000000003</v>
    <v>2521.4</v>
    <v>2485.1</v>
    <v>958594300</v>
    <v>ASIANPAINT</v>
    <v>ASIAN PAINTS LIMITED (XNSE:ASIANPAINT)</v>
    <v>436871</v>
    <v>1762440</v>
    <v>1945</v>
  </rv>
  <rv s="1">
    <v>271</v>
  </rv>
  <rv s="2">
    <v>https://www.bing.com/financeapi/forcetrigger?t=ahh8nm&amp;q=XNSE%3aBLS&amp;form=skydnc</v>
    <v>Learn more on Bing</v>
  </rv>
  <rv s="3">
    <v>5</v>
    <v>BLS INTERNATIONAL SERVICES LIMITED (XNSE:BLS)</v>
    <v>6</v>
    <v>7</v>
    <v>Finance</v>
    <v>8</v>
    <v>en-GB</v>
    <v>ahh8nm</v>
    <v>268435456</v>
    <v>1</v>
    <v>Powered by Refinitiv</v>
    <v>422</v>
    <v>218.9</v>
    <v>1.4079999999999999</v>
    <v>-7.65</v>
    <v>-2.7014999999999997E-2</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286.89999999999998</v>
    <v>Professional &amp; Commercial Services</v>
    <v>Stock</v>
    <v>46136.468148148146</v>
    <v>273</v>
    <v>273.27999999999997</v>
    <v>122416300000</v>
    <v>BLS INTERNATIONAL SERVICES LIMITED</v>
    <v>BLS INTERNATIONAL SERVICES LIMITED</v>
    <v>284.95</v>
    <v>17.613099999999999</v>
    <v>283.18</v>
    <v>275.52999999999997</v>
    <v>411655400</v>
    <v>BLS</v>
    <v>BLS INTERNATIONAL SERVICES LIMITED (XNSE:BLS)</v>
    <v>1294129</v>
    <v>6167140</v>
    <v>1983</v>
  </rv>
  <rv s="1">
    <v>274</v>
  </rv>
  <rv s="9">
    <v>18</v>
    <v>BHARAT COKING COAL LIMITED (XNSE:BHARATCOAL)</v>
    <v>2</v>
    <v>19</v>
    <v>Finance</v>
    <v>8</v>
    <v>en-GB</v>
    <v>cjc7hw</v>
    <v>268435456</v>
    <v>1</v>
    <v>Powered by Refinitiv</v>
    <v>45.09</v>
    <v>29.74</v>
    <v>-0.28999999999999998</v>
    <v>-8.5269999999999999E-3</v>
    <v>INR</v>
    <v>Bharat Coking Coal Limited is an India-based coking coal producer. The Company produces various grades of coking coal, non-coking coal and washed coal for applications primarily in the steel and power industries. It manages a network of open-cast and underground mines across Jharkhand and West Bengal. It operates across a total leasehold area of 288.31 square kilometers, covering 252.88 square kilometers of the Jharia coalfield and covering 35.43 square kilometers of the Raniganj coalfield. Its operational portfolio includes opencast and underground mining projects, coal washeries; monetization of old and idle coal washeries through the Washery Developer and Operator (WDO) route, and restoration of operations in discontinued underground mines through the Mine Developer and Operator (MDO) model. In addition, it monetizes its solar power projects through a combination of self-consumption and grid injections. Its projects include Solar Power Projects and Coal Bed Methane.</v>
    <v>32118</v>
    <v>National Stock Exchange of India</v>
    <v>XNSE</v>
    <v>XNSE</v>
    <v>Koyla Bhawan, Koyla Nagar, DHANBAD, JHARKHAND, 826005 IN</v>
    <v>34.380000000000003</v>
    <v>Metals &amp; Mining</v>
    <v>Stock</v>
    <v>46136.468217592592</v>
    <v>33.31</v>
    <v>188981100000</v>
    <v>BHARAT COKING COAL LIMITED</v>
    <v>BHARAT COKING COAL LIMITED</v>
    <v>34.159999999999997</v>
    <v>122.04130000000001</v>
    <v>34.01</v>
    <v>33.72</v>
    <v>4657000000</v>
    <v>BHARATCOAL</v>
    <v>BHARAT COKING COAL LIMITED (XNSE:BHARATCOAL)</v>
    <v>7583568</v>
    <v>20302290</v>
    <v>1972</v>
  </rv>
  <rv s="1">
    <v>276</v>
  </rv>
  <rv s="2">
    <v>https://www.bing.com/financeapi/forcetrigger?t=ahh9sm&amp;q=XNSE%3aBRITANNIA&amp;form=skydnc</v>
    <v>Learn more on Bing</v>
  </rv>
  <rv s="3">
    <v>5</v>
    <v>BRITANNIA INDUSTRIES LTD (XNSE:BRITANNIA)</v>
    <v>6</v>
    <v>7</v>
    <v>Finance</v>
    <v>8</v>
    <v>en-GB</v>
    <v>ahh9sm</v>
    <v>268435456</v>
    <v>1</v>
    <v>Powered by Refinitiv</v>
    <v>6336</v>
    <v>5276.5</v>
    <v>0.89380000000000004</v>
    <v>59</v>
    <v>1.0403000000000001E-2</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5753.5</v>
    <v>Food &amp; Tobacco</v>
    <v>Stock</v>
    <v>46136.468113425923</v>
    <v>278</v>
    <v>5665.5</v>
    <v>1425459000000</v>
    <v>BRITANNIA INDUSTRIES LTD</v>
    <v>BRITANNIA INDUSTRIES LTD</v>
    <v>5707.5</v>
    <v>57.154699999999998</v>
    <v>5671.5</v>
    <v>5730.5</v>
    <v>240868300</v>
    <v>BRITANNIA</v>
    <v>BRITANNIA INDUSTRIES LTD (XNSE:BRITANNIA)</v>
    <v>470926</v>
    <v>450000</v>
    <v>1918</v>
  </rv>
  <rv s="1">
    <v>279</v>
  </rv>
  <rv s="2">
    <v>https://www.bing.com/financeapi/forcetrigger?t=c4qbfr&amp;q=XNSE%3aCMSINFO&amp;form=skydnc</v>
    <v>Learn more on Bing</v>
  </rv>
  <rv s="3">
    <v>5</v>
    <v>CMS INFO SYSTEMS LIMITED (XNSE:CMSINFO)</v>
    <v>6</v>
    <v>7</v>
    <v>Finance</v>
    <v>8</v>
    <v>en-GB</v>
    <v>c4qbfr</v>
    <v>268435456</v>
    <v>1</v>
    <v>Powered by Refinitiv</v>
    <v>541.15</v>
    <v>261.89999999999998</v>
    <v>1.2944</v>
    <v>-10.6</v>
    <v>-3.3893E-2</v>
    <v>INR</v>
    <v>CMS Info Systems Limited is an India-based company. The Company provides logistics and technology solutions to banks, financial institutions, organized retail, and e-commerce companies with a presence across Cash Logistics, Managed Services, and Technology Solutions. The Company has three operating segments. The Cash management services segment provides automated teller machine (ATM) cash management services, retail cash management services, cash in transit services for banks, and other related services. The Managed services segment includes banking automation product deployment, brown label ATMs and managed services for banks, software solutions including multi-vendor software and automation solutions and remote monitoring technology solutions. The Card segment engages in trading in card and card personalization services. Its subsidiaries include Securitrans India Private Limited, CMS Securitas Limited, CMS Marshall Limited, Hemabh Technology Private Limited, among others.</v>
    <v>638</v>
    <v>National Stock Exchange of India</v>
    <v>XNSE</v>
    <v>XNSE</v>
    <v>T-151, 5TH FLOOR, TOWER NO. 10, SECTOR-11, RAILWAY STATION COMPLEX,, CBD BELAPUR,, THANE,, MAHARASHTRA, 400614 IN</v>
    <v>315.8</v>
    <v>Professional &amp; Commercial Services</v>
    <v>Stock</v>
    <v>46136.468124999999</v>
    <v>281</v>
    <v>300</v>
    <v>54991390000</v>
    <v>CMS INFO SYSTEMS LIMITED</v>
    <v>CMS INFO SYSTEMS LIMITED</v>
    <v>312.75</v>
    <v>15.427300000000001</v>
    <v>312.75</v>
    <v>302.14999999999998</v>
    <v>164637500</v>
    <v>CMSINFO</v>
    <v>CMS INFO SYSTEMS LIMITED (XNSE:CMSINFO)</v>
    <v>415906</v>
    <v>452100</v>
    <v>2008</v>
  </rv>
  <rv s="1">
    <v>282</v>
  </rv>
  <rv s="2">
    <v>https://www.bing.com/financeapi/forcetrigger?t=ahhwz2&amp;q=XNSE%3aGODFRYPHLP&amp;form=skydnc</v>
    <v>Learn more on Bing</v>
  </rv>
  <rv s="3">
    <v>5</v>
    <v>GODFREY PHILLIPS INDIA LIMITED (XNSE:GODFRYPHLP)</v>
    <v>6</v>
    <v>7</v>
    <v>Finance</v>
    <v>8</v>
    <v>en-GB</v>
    <v>ahhwz2</v>
    <v>268435456</v>
    <v>1</v>
    <v>Powered by Refinitiv</v>
    <v>3947</v>
    <v>1832.1</v>
    <v>0.83599999999999997</v>
    <v>-46.1</v>
    <v>-2.1408999999999997E-2</v>
    <v>INR</v>
    <v>Godfrey Phillips India Limited is an India-based fast moving consumer goods (FMCG) company. The principal activities of the Company are manufacturing of cigarettes and tobacco products, trading of cigarettes, tobacco products, and other retail products, acquisition of securities and real estate development. It is also engaged in the confectionery business and the trading of unmanufactured tobacco. Its segments include cigarette, tobacco and related products, retail and related products, and others. Its cigarette brands include Four Square, Red and White, Cavanders, Stellar, Focus, Originals International, and others. The Company also manufactures and distributes the brand, Marlboro, under a license agreement with Philip Morris. Its retail outlet, 24Seven, is around the clock convenience store format, with approximately 150 stores/kiosks spread across Delhi NCR, Punjab and Telangana. Its business to business (B2B) customers include wholesalers, retailers, and other distributors.</v>
    <v>1077</v>
    <v>National Stock Exchange of India</v>
    <v>XNSE</v>
    <v>XNSE</v>
    <v>OMAXE SQUARE, PLOT NO. 14, JASOLA DISTRICT CENTRE, JASOLA, DELHI, 110025 IN</v>
    <v>2177.3000000000002</v>
    <v>Food &amp; Tobacco</v>
    <v>Stock</v>
    <v>46136.468113425923</v>
    <v>284</v>
    <v>2085</v>
    <v>345577600000</v>
    <v>GODFREY PHILLIPS INDIA LIMITED</v>
    <v>GODFREY PHILLIPS INDIA LIMITED</v>
    <v>2150</v>
    <v>22.3687</v>
    <v>2153.3000000000002</v>
    <v>2107.1999999999998</v>
    <v>155981800</v>
    <v>GODFRYPHLP</v>
    <v>GODFREY PHILLIPS INDIA LIMITED (XNSE:GODFRYPHLP)</v>
    <v>528548</v>
    <v>1256920</v>
    <v>1936</v>
  </rv>
  <rv s="1">
    <v>285</v>
  </rv>
  <rv s="2">
    <v>https://www.bing.com/financeapi/forcetrigger?t=azjfim&amp;q=XNSE%3aHAL&amp;form=skydnc</v>
    <v>Learn more on Bing</v>
  </rv>
  <rv s="3">
    <v>5</v>
    <v>HINDUSTAN AERONAUTICS LIMITED (XNSE:HAL)</v>
    <v>6</v>
    <v>7</v>
    <v>Finance</v>
    <v>8</v>
    <v>en-GB</v>
    <v>azjfim</v>
    <v>268435456</v>
    <v>1</v>
    <v>Powered by Refinitiv</v>
    <v>5165</v>
    <v>3479.1</v>
    <v>1.6102000000000001</v>
    <v>-86.7</v>
    <v>-1.992E-2</v>
    <v>INR</v>
    <v>Hindustan Aeronautics Limited is an India-based company engaged in the design, development, manufacture, repair, overhaul, upgrade, and servicing of a wide range of products, including aircraft, helicopters, aero-engines, avionics, accessories, and aerospace structures. The Company’s aircraft products include the HAWK, Light Combat Aircraft (LCA), SU-30 MKI, Intermediate Jet Trainer (IJT), Dornier, and HTT-40. Its helicopter products include the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Systems, Accessories and Avionics.</v>
    <v>23999</v>
    <v>National Stock Exchange of India</v>
    <v>XNSE</v>
    <v>XNSE</v>
    <v>15/1, Cubbon Road, BANGALORE, KARNATAKA, 560001 IN</v>
    <v>4387.3</v>
    <v>Aerospace &amp; Defense</v>
    <v>Stock</v>
    <v>46136.468113425923</v>
    <v>287</v>
    <v>4236.1000000000004</v>
    <v>2977654000000</v>
    <v>HINDUSTAN AERONAUTICS LIMITED</v>
    <v>HINDUSTAN AERONAUTICS LIMITED</v>
    <v>4352.5</v>
    <v>32.065300000000001</v>
    <v>4352.5</v>
    <v>4265.8</v>
    <v>668775000</v>
    <v>HAL</v>
    <v>HINDUSTAN AERONAUTICS LIMITED (XNSE:HAL)</v>
    <v>799635</v>
    <v>1350920</v>
    <v>1963</v>
  </rv>
  <rv s="1">
    <v>288</v>
  </rv>
  <rv s="2">
    <v>https://www.bing.com/financeapi/forcetrigger?t=bxjznm&amp;q=XNSE%3aIRFC&amp;form=skydnc</v>
    <v>Learn more on Bing</v>
  </rv>
  <rv s="3">
    <v>5</v>
    <v>INDIAN RAILWAY FINANCE CORPORATION LIMITED (XNSE:IRFC)</v>
    <v>6</v>
    <v>7</v>
    <v>Finance</v>
    <v>8</v>
    <v>en-GB</v>
    <v>bxjznm</v>
    <v>268435456</v>
    <v>1</v>
    <v>Powered by Refinitiv</v>
    <v>148.94999999999999</v>
    <v>87</v>
    <v>1.3022</v>
    <v>-1.1399999999999999</v>
    <v>-1.0851E-2</v>
    <v>INR</v>
    <v>Indian Railway Finance Corporation Limited is an India-based company, which is engaged in mobilizing funds from domestic and international markets for supporting infrastructure development of Indian Railways. The Company's main business is to provide leasing and financing to railway sector in India. Its business is leasing of rolling stock assets, railway infrastructure assets and lending to other entities under the Ministry of Railways (MoR). The normal rolling stock asset lease term is 30 years, with a primary component of 15 years and a secondary component of 15 years. During the primary lease period, the principal component and interest are recovered as part of the lease. During the secondary lease period of 15 years, it receives a nominal rent. Its lending operations include providing loans to Rail Vikas Nigam Limited and IRCON. Its borrowing operations include taxable and tax-free bonds issuances, term loans from banks and financial institutions, commercial papers, and others.</v>
    <v>45</v>
    <v>National Stock Exchange of India</v>
    <v>XNSE</v>
    <v>XNSE</v>
    <v>UG - Floor, East Tower, NBCC Place, Bhisham Pitamah Marg, Lodhi Rd, Pragati Vihar, NEW DELHI, DELHI, 110003 IN</v>
    <v>105.78</v>
    <v>Banking Services</v>
    <v>Stock</v>
    <v>46136.468113425923</v>
    <v>290</v>
    <v>103.01</v>
    <v>1585602000000</v>
    <v>INDIAN RAILWAY FINANCE CORPORATION LIMITED</v>
    <v>INDIAN RAILWAY FINANCE CORPORATION LIMITED</v>
    <v>105.05</v>
    <v>19.3689</v>
    <v>105.06</v>
    <v>103.92</v>
    <v>13068510000</v>
    <v>IRFC</v>
    <v>INDIAN RAILWAY FINANCE CORPORATION LIMITED (XNSE:IRFC)</v>
    <v>14644667</v>
    <v>21370040</v>
    <v>1986</v>
  </rv>
  <rv s="1">
    <v>291</v>
  </rv>
  <rv s="2">
    <v>https://www.bing.com/financeapi/forcetrigger?t=ahgtm7&amp;q=XNSE%3aAKZOINDIA&amp;form=skydnc</v>
    <v>Learn more on Bing</v>
  </rv>
  <rv s="3">
    <v>5</v>
    <v>JSW Dulux Limited (XNSE:JSWDULUX)</v>
    <v>6</v>
    <v>7</v>
    <v>Finance</v>
    <v>8</v>
    <v>en-GB</v>
    <v>ahgtm7</v>
    <v>268435456</v>
    <v>1</v>
    <v>Powered by Refinitiv</v>
    <v>3747.9</v>
    <v>2658.7</v>
    <v>0.36580000000000001</v>
    <v>0.9</v>
    <v>3.054E-4</v>
    <v>INR</v>
    <v>JSW Dulux Limited, formerly Akzo Nobel India Limited, is an India-based company. The Company is engaged in the business of manufacturing paints, coatings and allied products. Its business units include Decorative Paints, Automotive &amp; Specialty Coatings (ASC), Powder Coatings, Industrial Coatings, Marine &amp; Protective Coatings. The decorative paint business offers paints, lacquers, and varnishes. It also supplies a range of tinting machines, color concepts and training initiatives for the building and renovation industry. ASC provides coating solutions for various industries in India, such as automotive original equipment manufacturer coatings, consumer electronics coatings, vehicle refinishes and specialty coatings. Its powder coating brands are Interpon and Resicoat. The industrial coatings business includes coil and extrusion coatings, packaging coatings, wood finishes and adhesives. Its portfolio brands include Dulux, International, Sikkens and Interpon.</v>
    <v>1577</v>
    <v>National Stock Exchange of India</v>
    <v>XNSE</v>
    <v>XNSE</v>
    <v>9th Floor, Magnum Towers, Golf Course Extension Road, Sector 58, GURGAON, HARYANA, 122011 IN</v>
    <v>2985</v>
    <v>Chemicals</v>
    <v>Stock</v>
    <v>46136.468113425923</v>
    <v>293</v>
    <v>2920.3</v>
    <v>141293400000</v>
    <v>JSW Dulux Limited</v>
    <v>JSW Dulux Limited</v>
    <v>2947</v>
    <v>6.8613999999999997</v>
    <v>2946.9</v>
    <v>2947.8</v>
    <v>45540310</v>
    <v>JSWDULUX</v>
    <v>JSW Dulux Limited (XNSE:JSWDULUX)</v>
    <v>20698</v>
    <v>26630</v>
    <v>1954</v>
  </rv>
  <rv s="1">
    <v>294</v>
  </rv>
  <rv s="2">
    <v>https://www.bing.com/financeapi/forcetrigger?t=ahhckr&amp;q=XNSE%3aJWL&amp;form=skydnc</v>
    <v>Learn more on Bing</v>
  </rv>
  <rv s="3">
    <v>5</v>
    <v>JUPITER WAGONS LIMITED (XNSE:JWL)</v>
    <v>6</v>
    <v>7</v>
    <v>Finance</v>
    <v>8</v>
    <v>en-GB</v>
    <v>ahhckr</v>
    <v>268435456</v>
    <v>1</v>
    <v>Powered by Refinitiv</v>
    <v>457</v>
    <v>235.65</v>
    <v>0.85189999999999999</v>
    <v>-6.13</v>
    <v>-2.1489999999999999E-2</v>
    <v>INR</v>
    <v>Jupiter Wagons Limited is an integrated railway engineering company for freight wagons and passenger coach items for the Indian Railways. The Company is engaged in the business of metal fabrication, comprising load bodies for commercial vehicles, rail freight wagons, and manufacturing railway transportation equipment. Its products include wagons, wagon accessories, brake systems, brake discs, complete track solutions, commercial vehicle load bodies, commercial electric vehicles, and containers. It caters to industries such as railways, metro rail, automobile, transportation, logistics, construction equipment, municipalities, healthcare, energy, mining, and infrastructure. The Company provides services to Indian Railways, American Railroads, and the Indian Ministry of Defense. Its subsidiaries are Jupiter Electric Mobility Private Limited, Stone India Limited, Bonatrans India Private Limited, and Habitation RealEstate LLP.</v>
    <v>1016</v>
    <v>National Stock Exchange of India</v>
    <v>XNSE</v>
    <v>XNSE</v>
    <v>4/2. Middleton Street,, KOLKATA, WEST BENGAL, 700071 IN</v>
    <v>288.3</v>
    <v>Machinery, Equipment &amp; Components</v>
    <v>Stock</v>
    <v>46136.468148148146</v>
    <v>296</v>
    <v>277.06</v>
    <v>125732400000</v>
    <v>JUPITER WAGONS LIMITED</v>
    <v>JUPITER WAGONS LIMITED</v>
    <v>286.89999999999998</v>
    <v>49.5139</v>
    <v>285.25</v>
    <v>279.12</v>
    <v>427370400</v>
    <v>JWL</v>
    <v>JUPITER WAGONS LIMITED (XNSE:JWL)</v>
    <v>1261263</v>
    <v>3358570</v>
    <v>1979</v>
  </rv>
  <rv s="1">
    <v>297</v>
  </rv>
  <rv s="2">
    <v>https://www.bing.com/financeapi/forcetrigger?t=ahiw4c&amp;q=XNSE%3aMARICO&amp;form=skydnc</v>
    <v>Learn more on Bing</v>
  </rv>
  <rv s="3">
    <v>5</v>
    <v>MARICO LIMITED (XNSE:MARICO)</v>
    <v>6</v>
    <v>7</v>
    <v>Finance</v>
    <v>8</v>
    <v>en-GB</v>
    <v>ahiw4c</v>
    <v>268435456</v>
    <v>1</v>
    <v>Powered by Refinitiv</v>
    <v>813.5</v>
    <v>680.3</v>
    <v>0.59650000000000003</v>
    <v>4.4000000000000004</v>
    <v>5.6489999999999995E-3</v>
    <v>INR</v>
    <v>Marico Limited is an India-based consumer goods company operating in the global beauty and wellness categories. The Company operates in product categories such as Coconut Oil, Refined Edible Oils, Value Added Hair Oils, Leave-in Hair Conditioners, Male Grooming and Packaged Foods, among others. Its product portfolio caters to a diverse range of consumer needs and preferences, ranging from hair nourishment and styling to nutrition, immunity, and healthy snacking. The Company manufactures and markets products under the brands such as Parachute, Saffola, Saffola FITTIFY, Hair &amp; Care, Parachute Advansed, Nihar Naturals, Mediker, Pure Sense, Coco Soul, Revive, Set Wet, Livon, Beardo, Just Herbs, True Elements and Plix. The Company's international product portfolio includes brands, such as Parachute, Parachute Advansed, HairCode, Fiancee, Purite de Provence, oliv, Caivil, Hercules, Black Chic, Code 10, Ingwe, X-Men, Thuan Phat and IsoPlus.</v>
    <v>1908</v>
    <v>National Stock Exchange of India</v>
    <v>XNSE</v>
    <v>XNSE</v>
    <v>7th Floor, Grande Palladium, 175,CST Road, Kalina,, Santacruz (East), MUMBAI, MAHARASHTRA, 400098 IN</v>
    <v>787.1</v>
    <v>Food &amp; Tobacco</v>
    <v>Stock</v>
    <v>46136.468113425923</v>
    <v>299</v>
    <v>769.4</v>
    <v>978865100000</v>
    <v>MARICO LIMITED</v>
    <v>MARICO LIMITED</v>
    <v>783.9</v>
    <v>59.146000000000001</v>
    <v>778.9</v>
    <v>783.3</v>
    <v>1295648000</v>
    <v>MARICO</v>
    <v>MARICO LIMITED (XNSE:MARICO)</v>
    <v>2522454</v>
    <v>1898520</v>
    <v>1988</v>
  </rv>
  <rv s="1">
    <v>300</v>
  </rv>
  <rv s="2">
    <v>https://www.bing.com/financeapi/forcetrigger?t=ahj852&amp;q=XNSE%3aNMDC&amp;form=skydnc</v>
    <v>Learn more on Bing</v>
  </rv>
  <rv s="3">
    <v>5</v>
    <v>NMDC LIMITED (XNSE:NMDC)</v>
    <v>6</v>
    <v>7</v>
    <v>Finance</v>
    <v>8</v>
    <v>en-GB</v>
    <v>ahj852</v>
    <v>268435456</v>
    <v>1</v>
    <v>Powered by Refinitiv</v>
    <v>90.17</v>
    <v>62</v>
    <v>0.83140000000000003</v>
    <v>1.98</v>
    <v>2.2677999999999997E-2</v>
    <v>INR</v>
    <v>NMDC Limited is an India-based producer of iron ore. The Company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The Company's segments include Iron Ore, and Pellet, Other Minerals &amp; Services. Its products include Baila ROM, Baila Lump, DR CLO, 10-20 mm Baila, Baila Fine, Doni Lump, Kumaraswamy Lump, Kumaraswamy Lump Ore, Doni Fines, Kumaraswamy Fine, Iron Ore Pellets, and Rough Diamonds. It holds around 26% stake in International Coal Ventures Pvt. Ltd (ICVL). ICVL owns coking coal deposit in Mozambique. The Company, through its subsidiary, Legacy Iron Ore Limited, carries out exploration in its 21 exploration tenements in Western Australia in iron ore, gold, tungsten and base metals.</v>
    <v>5677</v>
    <v>National Stock Exchange of India</v>
    <v>XNSE</v>
    <v>XNSE</v>
    <v>KHANIJ BHAVAN 10-3-311/A CASTLE HILLS,MASAB TANK, TELANGANA, 500028 IN</v>
    <v>89.99</v>
    <v>Metals &amp; Mining</v>
    <v>Stock</v>
    <v>46136.468136574076</v>
    <v>302</v>
    <v>86.7</v>
    <v>721984100000</v>
    <v>NMDC LIMITED</v>
    <v>NMDC LIMITED</v>
    <v>87.5</v>
    <v>11.3721</v>
    <v>87.31</v>
    <v>89.29</v>
    <v>8791817000</v>
    <v>NMDC</v>
    <v>NMDC LIMITED (XNSE:NMDC)</v>
    <v>34794839</v>
    <v>27766690</v>
    <v>1958</v>
  </rv>
  <rv s="1">
    <v>303</v>
  </rv>
  <rv s="2">
    <v>https://www.bing.com/financeapi/forcetrigger?t=ahj8rw&amp;q=XNSE%3aNTPC&amp;form=skydnc</v>
    <v>Learn more on Bing</v>
  </rv>
  <rv s="3">
    <v>5</v>
    <v>NTPC LIMITED (XNSE:NTPC)</v>
    <v>6</v>
    <v>7</v>
    <v>Finance</v>
    <v>8</v>
    <v>en-GB</v>
    <v>ahj8rw</v>
    <v>268435456</v>
    <v>1</v>
    <v>Powered by Refinitiv</v>
    <v>407.25</v>
    <v>315.55</v>
    <v>0.81030000000000002</v>
    <v>-0.4</v>
    <v>-9.944000000000001E-4</v>
    <v>INR</v>
    <v>NTPC Limited is an India-based power generating company. The Company is involved in the generation and sale of bulk power to State Power Utilities. Its segments include Generation of energy and Others. Its generation of energy segment is engaged in generation and sale of bulk power to state power utilities. Its other segment is focused on providing consultancy, project management and supervision, energy trading, oil and gas exploration, and coal mining. The Company operates power stations across various Indian states, either independently or through its joint ventures (JVs) and subsidiaries. Its subsidiaries include NTPC Vidyut Vyapar Nigam Limited, NTPC Electric Supply Company Limited, Bhartiya Rail Bijlee Company Limited, Patratu Vidyut Utpadan Nigam Limited, NTPC Mining Limited, North Eastern Electric Power Corporation Limited, THDC India Limited, NTPC EDMC Waste Solutions Private Limited, NTPC Green Energy Limited, and Ratnagiri Gas and Power Private Limited.</v>
    <v>16646</v>
    <v>National Stock Exchange of India</v>
    <v>XNSE</v>
    <v>XNSE</v>
    <v>NTPC Bhawan, SCOPE Complex, Institutional Area, Lodhi Road, NEW DELHI, DELHI, 110003 IN</v>
    <v>405.25</v>
    <v>Electrical Utilities &amp; IPPs</v>
    <v>Stock</v>
    <v>46136.468124999999</v>
    <v>305</v>
    <v>399.2</v>
    <v>3276504000000</v>
    <v>NTPC LIMITED</v>
    <v>NTPC LIMITED</v>
    <v>404.75</v>
    <v>16.117000000000001</v>
    <v>402.25</v>
    <v>401.85</v>
    <v>9696666000</v>
    <v>NTPC</v>
    <v>NTPC LIMITED (XNSE:NTPC)</v>
    <v>6266676</v>
    <v>13692880</v>
    <v>1975</v>
  </rv>
  <rv s="1">
    <v>306</v>
  </rv>
  <rv s="2">
    <v>https://www.bing.com/financeapi/forcetrigger?t=ahj4jc&amp;q=XNSE%3aNATIONALUM&amp;form=skydnc</v>
    <v>Learn more on Bing</v>
  </rv>
  <rv s="3">
    <v>5</v>
    <v>NATIONAL ALUMINIUM CO LTD (XNSE:NATIONALUM)</v>
    <v>6</v>
    <v>7</v>
    <v>Finance</v>
    <v>8</v>
    <v>en-GB</v>
    <v>ahj4jc</v>
    <v>268435456</v>
    <v>1</v>
    <v>Powered by Refinitiv</v>
    <v>443.15</v>
    <v>149</v>
    <v>0.86539999999999995</v>
    <v>-2.2000000000000002</v>
    <v>-5.0090000000000004E-3</v>
    <v>INR</v>
    <v>National Aluminium Company Limited is an India-based integrated bauxite-alumina-aluminum- power complex. The Company's operations include bauxite mines, alumina refinery, aluminum smelter, captive power plant, rolled products unit, port facilities, wind power plants, solar power and Nalco Research &amp; Technology Centre - testing services. Its segments include chemicals and Aluminium. Chemicals segment includes calcined alumina, alumina hydrate and other related products. Aluminium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is operating four wind power plants with total capacity of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439.95</v>
    <v>Metals &amp; Mining</v>
    <v>Stock</v>
    <v>46136.468124999999</v>
    <v>308</v>
    <v>428.2</v>
    <v>656412200000</v>
    <v>NATIONAL ALUMINIUM CO LTD</v>
    <v>NATIONAL ALUMINIUM CO LTD</v>
    <v>436.05</v>
    <v>13.069699999999999</v>
    <v>439.25</v>
    <v>437.05</v>
    <v>1836632000</v>
    <v>NATIONALUM</v>
    <v>NATIONAL ALUMINIUM CO LTD (XNSE:NATIONALUM)</v>
    <v>11786646</v>
    <v>12104000</v>
    <v>1981</v>
  </rv>
  <rv s="1">
    <v>309</v>
  </rv>
  <rv s="2">
    <v>https://www.bing.com/financeapi/forcetrigger?t=ahjbvh&amp;q=XNSE%3aPAGEIND&amp;form=skydnc</v>
    <v>Learn more on Bing</v>
  </rv>
  <rv s="3">
    <v>5</v>
    <v>PAGE INDUSTRIES LIMITED (XNSE:PAGEIND)</v>
    <v>6</v>
    <v>7</v>
    <v>Finance</v>
    <v>8</v>
    <v>en-GB</v>
    <v>ahjbvh</v>
    <v>268435456</v>
    <v>1</v>
    <v>Powered by Refinitiv</v>
    <v>50590</v>
    <v>29805</v>
    <v>0.76380000000000003</v>
    <v>-300</v>
    <v>-7.9019999999999993E-3</v>
    <v>INR</v>
    <v>Page Industries Limited is an India-based company, which is engaged in the business of manufacturing, distribution and marketing of garments.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15 manufacturing complexes in Bangalore, Hassan, Mysore, Gowribidanur, Tiptur and Tirupur. The Company distributes pan India, including approximately 50,000 plus retail outlets in 1,800 cities and towns. The Company through its authorized franchisees has approximately 1,289 Exclusive Brand Outlet’s (EBO’s), including 48 Jockey Woman EBOs and 78 Jockey Juniors EBOs.</v>
    <v>20658</v>
    <v>National Stock Exchange of India</v>
    <v>XNSE</v>
    <v>XNSE</v>
    <v>Umiya Business Bay - Tower - 1, 7th Floor, Cessna Business Park, Kadubeesanahalli, Varthur Hobli, BANGALORE, KARNATAKA, 560103 IN</v>
    <v>38250</v>
    <v>Textiles &amp; Apparel</v>
    <v>Stock</v>
    <v>46136.468136574076</v>
    <v>311</v>
    <v>37565</v>
    <v>386426000000</v>
    <v>PAGE INDUSTRIES LIMITED</v>
    <v>PAGE INDUSTRIES LIMITED</v>
    <v>37900</v>
    <v>56.081499999999998</v>
    <v>37965</v>
    <v>37665</v>
    <v>11153870</v>
    <v>PAGEIND</v>
    <v>PAGE INDUSTRIES LIMITED (XNSE:PAGEIND)</v>
    <v>17217</v>
    <v>36430</v>
    <v>1994</v>
  </rv>
  <rv s="1">
    <v>312</v>
  </rv>
  <rv s="2">
    <v>https://www.bing.com/financeapi/forcetrigger?t=ahkgbh&amp;q=XNSE%3aTWL&amp;form=skydnc</v>
    <v>Learn more on Bing</v>
  </rv>
  <rv s="3">
    <v>5</v>
    <v>TITAGARH RAIL SYSTEMS LIMITED (XNSE:TITAGARH)</v>
    <v>6</v>
    <v>7</v>
    <v>Finance</v>
    <v>8</v>
    <v>en-GB</v>
    <v>ahkgbh</v>
    <v>268435456</v>
    <v>1</v>
    <v>Powered by Refinitiv</v>
    <v>974.35</v>
    <v>568.70000000000005</v>
    <v>2.1137999999999999</v>
    <v>14.85</v>
    <v>2.0018999999999999E-2</v>
    <v>INR</v>
    <v>Titagarh Rail Systems Limited is an India-based company that offers mobility solutions through its presence in both passenger and freight rail systems, including railway wagons, components, passenger coaches (EMU/MEMU), and metro coaches. Its segments include Freight Rail Systems and Passenger Rail Systems. The Freight Rail Systems segment includes the manufacturing of wagons, loco shells, bogies, couplers and their components, designing and construction of warships, passenger vessels, tug and specialized equipment's for defense, bridge girders and others. The Passenger Rail Systems segment consists of designing and manufacturing of metro, passenger coaches, EMUs, train sets, monorail, propulsion equipment, traction motors and their components. The Company produces integral components for both Indian Railways and the global market, particularly for rail crossings. Its product range also includes electric propulsion equipment, such as traction motors and vehicle control systems.</v>
    <v>1222</v>
    <v>National Stock Exchange of India</v>
    <v>XNSE</v>
    <v>XNSE</v>
    <v>Titagarh Towers 756,, Anandapur, E.M. Bypass, KOLKATA, WEST BENGAL, 700107 IN</v>
    <v>761.95</v>
    <v>Machinery, Equipment &amp; Components</v>
    <v>Stock</v>
    <v>46136.468136574076</v>
    <v>314</v>
    <v>722</v>
    <v>106668400000</v>
    <v>TITAGARH RAIL SYSTEMS LIMITED</v>
    <v>TITAGARH RAIL SYSTEMS LIMITED</v>
    <v>743.55</v>
    <v>55.532299999999999</v>
    <v>741.8</v>
    <v>756.65</v>
    <v>134673800</v>
    <v>TITAGARH</v>
    <v>TITAGARH RAIL SYSTEMS LIMITED (XNSE:TITAGARH)</v>
    <v>1031823</v>
    <v>1222580</v>
    <v>1997</v>
  </rv>
  <rv s="1">
    <v>315</v>
  </rv>
  <rv s="2">
    <v>https://www.bing.com/financeapi/forcetrigger?t=ahixc7&amp;q=XNSE%3aMCDOWELL-N&amp;form=skydnc</v>
    <v>Learn more on Bing</v>
  </rv>
  <rv s="3">
    <v>5</v>
    <v>UNITED SPIRITS LIMITED (XNSE:UNITDSPR)</v>
    <v>6</v>
    <v>7</v>
    <v>Finance</v>
    <v>8</v>
    <v>en-GB</v>
    <v>ahixc7</v>
    <v>268435456</v>
    <v>1</v>
    <v>Powered by Refinitiv</v>
    <v>1645</v>
    <v>1210.8</v>
    <v>1.2632000000000001</v>
    <v>9.6</v>
    <v>6.9449999999999998E-3</v>
    <v>INR</v>
    <v>United Spirits Limited is an India-based company. The Company is s engaged in the business of manufacture, purchase and sale of beverage alcohol and other allied spirits, including through tie-up manufacturing units and through strategic franchising of some of its brands. The Company operates through two segments: Beverage alcohol, and Sports. Beverage alcohol segment is engaged in the manufacture, purchase, franchise and sale of beverage alcohol and other allied spirits. Sports segment owns rights to operate sports franchises. The Company’s portfolio includes premium brands such as Johnnie Walker, Black Dog, Black &amp; White, Vat 69, Antiquity, Signature, Singelton, Royal Challenge, McDowell’s No 1, Smirnoff, Ketel One, Tanqueray, Captain Morgan, and others. The Company’s subsidiary is Royal Challengers Sports Private Limited. Royal Challengers Sports Private Limited, holds the rights to operate a sports franchise.</v>
    <v>2420</v>
    <v>National Stock Exchange of India</v>
    <v>XNSE</v>
    <v>XNSE</v>
    <v>UB TOWER 24 VITTAL MALLYA ROAD, KARNATAKA, 560001 IN</v>
    <v>1398.5</v>
    <v>Beverages</v>
    <v>Stock</v>
    <v>46136.468124999999</v>
    <v>317</v>
    <v>1370.1</v>
    <v>959666700000</v>
    <v>UNITED SPIRITS LIMITED</v>
    <v>UNITED SPIRITS LIMITED</v>
    <v>1383</v>
    <v>57.492800000000003</v>
    <v>1382.3</v>
    <v>1391.9</v>
    <v>727350800</v>
    <v>UNITDSPR</v>
    <v>UNITED SPIRITS LIMITED (XNSE:UNITDSPR)</v>
    <v>967932</v>
    <v>1635880</v>
    <v>1999</v>
  </rv>
  <rv s="1">
    <v>318</v>
  </rv>
  <rv s="2">
    <v>https://www.bing.com/financeapi/forcetrigger?t=ahkjtc&amp;q=XNSE%3aVEDL&amp;form=skydnc</v>
    <v>Learn more on Bing</v>
  </rv>
  <rv s="3">
    <v>5</v>
    <v>VEDANTA LIMITED (XNSE:VEDL)</v>
    <v>6</v>
    <v>7</v>
    <v>Finance</v>
    <v>8</v>
    <v>en-GB</v>
    <v>ahkjtc</v>
    <v>268435456</v>
    <v>1</v>
    <v>Powered by Refinitiv</v>
    <v>795</v>
    <v>398.6</v>
    <v>0.94840000000000002</v>
    <v>-14.65</v>
    <v>-1.9916E-2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734.95</v>
    <v>Metals &amp; Mining</v>
    <v>Stock</v>
    <v>46136.468113425923</v>
    <v>320</v>
    <v>707.6</v>
    <v>2488569000000</v>
    <v>VEDANTA LIMITED</v>
    <v>VEDANTA LIMITED</v>
    <v>734.95</v>
    <v>29.7408</v>
    <v>735.6</v>
    <v>720.95</v>
    <v>3904802000</v>
    <v>VEDL</v>
    <v>VEDANTA LIMITED (XNSE:VEDL)</v>
    <v>19062006</v>
    <v>16340460</v>
    <v>1965</v>
  </rv>
  <rv s="1">
    <v>321</v>
  </rv>
  <rv s="2">
    <v>https://www.bing.com/financeapi/forcetrigger?t=b14qjc&amp;q=XNSE%3aSIRCA&amp;form=skydnc</v>
    <v>Learn more on Bing</v>
  </rv>
  <rv s="3">
    <v>5</v>
    <v>SIRCA PAINTS INDIA LIMITED (XNSE:SIRCA)</v>
    <v>6</v>
    <v>7</v>
    <v>Finance</v>
    <v>8</v>
    <v>en-GB</v>
    <v>b14qjc</v>
    <v>268435456</v>
    <v>1</v>
    <v>Powered by Refinitiv</v>
    <v>539</v>
    <v>253.25</v>
    <v>0.73009999999999997</v>
    <v>-2.5499999999999998</v>
    <v>-5.7970000000000001E-3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Delhi, DELHI, 110015 IN</v>
    <v>444.7</v>
    <v>Chemicals</v>
    <v>Stock</v>
    <v>46136.468124999999</v>
    <v>323</v>
    <v>435</v>
    <v>27203750000</v>
    <v>SIRCA PAINTS INDIA LIMITED</v>
    <v>SIRCA PAINTS INDIA LIMITED</v>
    <v>440.95</v>
    <v>39.431899999999999</v>
    <v>439.85</v>
    <v>437.3</v>
    <v>56792800</v>
    <v>SIRCA</v>
    <v>SIRCA PAINTS INDIA LIMITED (XNSE:SIRCA)</v>
    <v>280337</v>
    <v>457490</v>
    <v>2006</v>
  </rv>
  <rv s="1">
    <v>324</v>
  </rv>
  <rv s="2">
    <v>https://www.bing.com/financeapi/forcetrigger?t=bxl9f2&amp;q=XNSE%3aINDIGOPNTS&amp;form=skydnc</v>
    <v>Learn more on Bing</v>
  </rv>
  <rv s="3">
    <v>5</v>
    <v>INDIGO PAINTS LIMITED (XNSE:INDIGOPNTS)</v>
    <v>6</v>
    <v>7</v>
    <v>Finance</v>
    <v>8</v>
    <v>en-GB</v>
    <v>bxl9f2</v>
    <v>268435456</v>
    <v>1</v>
    <v>Powered by Refinitiv</v>
    <v>1345.9</v>
    <v>708.05</v>
    <v>1.2234</v>
    <v>-17.399999999999999</v>
    <v>-1.983E-2</v>
    <v>INR</v>
    <v>Indigo Paints Limited (IPL) is engaged in the manufacture and sale of decorative paints, construction chemicals and waterproofing products. IPL operates in one segment, namely Paints. Its product offerings include interior emulsions, exterior emulsions, exterior &amp; interior emulsions, enamels, waterproofing solutions, sleek wood coatings, primers and putties, and private labels. It offers various other types of emulsion paints and enamels, such as dirtproof, waterproof exterior laminate, exterior and interior acrylic laminate, and polyurethane (PU) super gloss enamel. It also offers aluminum paints to paint surfaces of storage tanks, metal pipes, and metal roofs. Its products are sold under one brand name, Indigo. It has its investment in a subsidiary, Apple Chemie India Private Limited, which is engaged in the manufacture and sale of construction chemicals and waterproofing products. Its manufacturing facilities are in Jodhpur (Rajasthan), Kochi (Kerala), and Pudukkottai (Tamil Nadu).</v>
    <v>1045</v>
    <v>National Stock Exchange of India</v>
    <v>XNSE</v>
    <v>XNSE</v>
    <v>Street 5, Pallod Farms II, Baner, PUNE, MAHARASHTRA, 411045 IN</v>
    <v>887.85</v>
    <v>Chemicals</v>
    <v>Stock</v>
    <v>46136.468113425923</v>
    <v>326</v>
    <v>855.05</v>
    <v>58312100000</v>
    <v>INDIGO PAINTS LIMITED</v>
    <v>INDIGO PAINTS LIMITED</v>
    <v>870</v>
    <v>28.403300000000002</v>
    <v>877.45</v>
    <v>860.05</v>
    <v>47675660</v>
    <v>INDIGOPNTS</v>
    <v>INDIGO PAINTS LIMITED (XNSE:INDIGOPNTS)</v>
    <v>99359</v>
    <v>118810</v>
    <v>2020</v>
  </rv>
  <rv s="1">
    <v>327</v>
  </rv>
  <rv s="2">
    <v>https://www.bing.com/financeapi/forcetrigger?t=ahikcw&amp;q=XNSE%3aKANSAINER&amp;form=skydnc</v>
    <v>Learn more on Bing</v>
  </rv>
  <rv s="3">
    <v>5</v>
    <v>KANSAI NEROLAC PAINTS LIMITED (XNSE:KANSAINER)</v>
    <v>6</v>
    <v>7</v>
    <v>Finance</v>
    <v>8</v>
    <v>en-GB</v>
    <v>ahikcw</v>
    <v>268435456</v>
    <v>1</v>
    <v>Powered by Refinitiv</v>
    <v>269.77</v>
    <v>157.91</v>
    <v>1.0891999999999999</v>
    <v>-3.58</v>
    <v>-1.7835E-2</v>
    <v>INR</v>
    <v>Kansai Nerolac Paints Limited is an India-based paints and coating manufacturer, specializing in industrial coatings. The Company is engaged in manufacturing and supplying paints, varnishes, enamels and lacquers. Its product categories include interior wall paints, exterior wall paints, wood coatings, metal enamel paints, paint ancillary, adhesives, waterproofing, and NXTGEN painting services. Its NXTGEN painting services include trained and certified painters, extensive background check, clean and dust-free processes, start-to-end guidance by experts, expert color consultation, advanced color selection tools, on-site sanitation, and quotations based on requirement. The Company serves various sectors, including homes, automobiles, new segments (underbody coats, alloy wheels and seam sealers), consumer durables (fans, microwaves, refrigerators, washing machine), personal use articles (hair clips, artificial jewelry), or transportation infrastructure (bridges, metro rail).</v>
    <v>3859</v>
    <v>National Stock Exchange of India</v>
    <v>XNSE</v>
    <v>XNSE</v>
    <v>28th Floor, A - Wing, Marathon Futurex, Mafatlal Mills Compound, N M Joshi Marg, Area: Lower Parel, MUMBAI, MAHARASHTRA, 400013 IN</v>
    <v>201.18</v>
    <v>Chemicals</v>
    <v>Stock</v>
    <v>46136.468113425923</v>
    <v>329</v>
    <v>195.46</v>
    <v>187787100000</v>
    <v>KANSAI NEROLAC PAINTS LIMITED</v>
    <v>KANSAI NEROLAC PAINTS LIMITED</v>
    <v>201</v>
    <v>25.603899999999999</v>
    <v>200.73</v>
    <v>197.15</v>
    <v>808658300</v>
    <v>KANSAINER</v>
    <v>KANSAI NEROLAC PAINTS LIMITED (XNSE:KANSAINER)</v>
    <v>266618</v>
    <v>469730</v>
    <v>1920</v>
  </rv>
  <rv s="1">
    <v>330</v>
  </rv>
  <rv s="2">
    <v>https://www.bing.com/financeapi/forcetrigger?t=ahjw7w&amp;q=XNSE%3aSHALPAINTS&amp;form=skydnc</v>
    <v>Learn more on Bing</v>
  </rv>
  <rv s="3">
    <v>5</v>
    <v>SHALIMAR PAINTS LTD (XNSE:SHALPAINTS)</v>
    <v>6</v>
    <v>7</v>
    <v>Finance</v>
    <v>8</v>
    <v>en-GB</v>
    <v>ahjw7w</v>
    <v>268435456</v>
    <v>1</v>
    <v>Powered by Refinitiv</v>
    <v>119.2</v>
    <v>35.21</v>
    <v>0.88029999999999997</v>
    <v>-2.77</v>
    <v>-5.2393000000000002E-2</v>
    <v>INR</v>
    <v>Shalimar Paints Limited is an India-based company. The Company is engaged in the business of developing, manufacturing, marketing, and distribution of a range of paints and coatings. The Company has a single operating segment, namely manufacturing and sale of paints. The Company’s products are classified based on Decorative Paints and Industrial Paints divisions. The Decorative Paints division offers a suite of decorative paints for interior and exterior surfaces including concrete, plasters, metals, among others. It also offers Enamels, Interior and water based decorative coatings. The Industrial Paints division offers a suite of Protective Coatings, Can Coatings, Marine Coatings, Pipeline Coatings, Protective, General Industrial and Packaging coating solutions, among others. Its segments include Shalimar Adhunik Nirman Limited and Eastern Speciality Paints &amp; Coatings Private Limited. The Company has three manufacturing facilities in Chennai, Nashik, and Sikandrabad (Uttar Pradesh).</v>
    <v>633</v>
    <v>National Stock Exchange of India</v>
    <v>XNSE</v>
    <v>XNSE</v>
    <v>Ist Floor, Plot No. 28,, Sector - 32,, Gurugram, HARYANA, 122001 IN</v>
    <v>53.36</v>
    <v>Chemicals</v>
    <v>Stock</v>
    <v>46136.468136574076</v>
    <v>332</v>
    <v>49.77</v>
    <v>5683989000</v>
    <v>SHALIMAR PAINTS LTD</v>
    <v>SHALIMAR PAINTS LTD</v>
    <v>52.87</v>
    <v>0</v>
    <v>52.87</v>
    <v>50.1</v>
    <v>83711180</v>
    <v>SHALPAINTS</v>
    <v>SHALIMAR PAINTS LTD (XNSE:SHALPAINTS)</v>
    <v>51656</v>
    <v>56590</v>
    <v>1902</v>
  </rv>
  <rv s="1">
    <v>333</v>
  </rv>
  <rv s="2">
    <v>https://www.bing.com/financeapi/forcetrigger?t=ahh5yc&amp;q=XNSE%3aBERGEPAINT&amp;form=skydnc</v>
    <v>Learn more on Bing</v>
  </rv>
  <rv s="3">
    <v>5</v>
    <v>BERGER PAINTS INDIA LIMITED (XNSE:BERGEPAINT)</v>
    <v>6</v>
    <v>7</v>
    <v>Finance</v>
    <v>8</v>
    <v>en-GB</v>
    <v>ahh5yc</v>
    <v>268435456</v>
    <v>1</v>
    <v>Powered by Refinitiv</v>
    <v>605</v>
    <v>391.1</v>
    <v>1.1024</v>
    <v>-8.25</v>
    <v>-1.7603999999999998E-2</v>
    <v>INR</v>
    <v>Berger Paints India Limited is an India-based company, which is engaged in the manufacturing and selling of paints. The Company offers products in categories, including interior wall coatings, exterior wall coatings, putty and cement paint, primers, enamels, wood finishes, and waterproofing. Its interior wall coatings include Silk Glamor Matt, Bison Glow, Silk GlamArt Metallica, and Ceiling White. Its exterior wall coatings include Weathercoat Long Life 15, Weathercoat Anti Dustt Kool, Walmasta Glow, Florentina Vintage, Weathercoat Long Life PU Tile Coat. Its putty and cement paint includes Bison Wall Putty and Durocem Extra. Its primaers include Silk Luxury Basecoat, BP Exterior Cement Primer, BP Cement Primer (ST), Luxol QD 1K Epoxy Primer, and Parrot Wood Primer. Its enamels include Luxol PU Enamel and Butterfly GP Enamel. Its SBL Specialty Coatings Private Limited, Beepee Coatings Private Limited, Berger Jenson &amp; Nicholson (Nepal) Private Limited, and STP Limited, among others.</v>
    <v>4760</v>
    <v>National Stock Exchange of India</v>
    <v>XNSE</v>
    <v>XNSE</v>
    <v>Berger House, 129 Part Street, KOLKATA, WEST BENGAL, 700017 IN</v>
    <v>474.6</v>
    <v>Chemicals</v>
    <v>Stock</v>
    <v>46136.468113425923</v>
    <v>335</v>
    <v>458.2</v>
    <v>607139700000</v>
    <v>BERGER PAINTS INDIA LIMITED</v>
    <v>BERGER PAINTS INDIA LIMITED</v>
    <v>468.65</v>
    <v>50.874099999999999</v>
    <v>468.65</v>
    <v>460.4</v>
    <v>1166003000</v>
    <v>BERGEPAINT</v>
    <v>BERGER PAINTS INDIA LIMITED (XNSE:BERGEPAINT)</v>
    <v>113166</v>
    <v>332140</v>
    <v>1923</v>
  </rv>
  <rv s="1">
    <v>336</v>
  </rv>
</rvData>
</file>

<file path=xl/richData/rdrichvaluestructure.xml><?xml version="1.0" encoding="utf-8"?>
<rvStructures xmlns="http://schemas.microsoft.com/office/spreadsheetml/2017/richdata" count="12">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
    <k n="%cvi" t="r"/>
  </s>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High"/>
    <k n="Instrument type" t="s"/>
    <k n="Last trade time"/>
    <k n="LearnMoreOnLink" t="r"/>
    <k n="Low"/>
    <k n="Name" t="s"/>
    <k n="Open"/>
    <k n="Previous close"/>
    <k n="Price"/>
    <k n="Price (Extended hours)"/>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3">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Change (%)</v>
      <v t="s">Change % (Extended hours)</v>
      <v t="s">Currency</v>
      <v t="s">Previous close</v>
      <v t="s">Open</v>
      <v t="s">High</v>
      <v t="s">Low</v>
      <v t="s">52 week high</v>
      <v t="s">52 week low</v>
      <v t="s">Volume</v>
      <v t="s">Instrument type</v>
      <v t="s">_Flags</v>
      <v t="s">UniqueName</v>
      <v t="s">_DisplayString</v>
      <v t="s">LearnMoreOnLink</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27">
    <spb s="0">
      <v>0</v>
      <v>Name</v>
    </spb>
    <spb s="1">
      <v>0</v>
      <v>0</v>
      <v>0</v>
    </spb>
    <spb s="2">
      <v>1</v>
      <v>1</v>
      <v>1</v>
    </spb>
    <spb s="3">
      <v>1</v>
      <v>2</v>
      <v>1</v>
      <v>3</v>
      <v>1</v>
      <v>1</v>
      <v>1</v>
      <v>4</v>
      <v>5</v>
      <v>6</v>
      <v>1</v>
      <v>1</v>
      <v>1</v>
      <v>4</v>
      <v>7</v>
      <v>8</v>
      <v>9</v>
      <v>4</v>
      <v>1</v>
      <v>1</v>
      <v>5</v>
    </spb>
    <spb s="4">
      <v>at close</v>
      <v>from previous close</v>
      <v>from previous close</v>
      <v>GMT</v>
      <v>Delayed 15 minutes</v>
      <v>from close</v>
      <v>from close</v>
    </spb>
    <spb s="5">
      <v>1</v>
      <v>Name</v>
      <v>LearnMoreOnLink</v>
    </spb>
    <spb s="6">
      <v>1</v>
      <v>1</v>
      <v>1</v>
      <v>1</v>
    </spb>
    <spb s="7">
      <v>1</v>
      <v>2</v>
      <v>2</v>
      <v>1</v>
      <v>3</v>
      <v>1</v>
      <v>1</v>
      <v>1</v>
      <v>4</v>
      <v>4</v>
      <v>5</v>
      <v>6</v>
      <v>1</v>
      <v>1</v>
      <v>1</v>
      <v>4</v>
      <v>7</v>
      <v>8</v>
      <v>9</v>
      <v>4</v>
    </spb>
    <spb s="8">
      <v>Delayed 5 minutes</v>
      <v>from previous close</v>
      <v>from previous close</v>
      <v>GMT</v>
    </spb>
    <spb s="0">
      <v>2</v>
      <v>Name</v>
    </spb>
    <spb s="5">
      <v>3</v>
      <v>Name</v>
      <v>LearnMoreOnLink</v>
    </spb>
    <spb s="9">
      <v>0</v>
      <v>0</v>
    </spb>
    <spb s="10">
      <v>11</v>
      <v>1</v>
      <v>1</v>
      <v>1</v>
      <v>1</v>
    </spb>
    <spb s="11">
      <v>1</v>
      <v>2</v>
      <v>2</v>
      <v>1</v>
      <v>3</v>
      <v>1</v>
      <v>10</v>
      <v>1</v>
      <v>1</v>
      <v>4</v>
      <v>4</v>
      <v>5</v>
      <v>6</v>
      <v>1</v>
      <v>1</v>
      <v>1</v>
      <v>4</v>
      <v>7</v>
      <v>8</v>
      <v>9</v>
      <v>4</v>
    </spb>
    <spb s="12">
      <v>Powered by Refinitiv</v>
    </spb>
    <spb s="5">
      <v>4</v>
      <v>Name</v>
      <v>LearnMoreOnLink</v>
    </spb>
    <spb s="13">
      <v>1</v>
      <v>1</v>
      <v>1</v>
    </spb>
    <spb s="14">
      <v>1</v>
      <v>1</v>
      <v>3</v>
      <v>1</v>
      <v>1</v>
      <v>1</v>
      <v>4</v>
      <v>5</v>
      <v>1</v>
      <v>1</v>
      <v>1</v>
      <v>7</v>
      <v>9</v>
      <v>1</v>
      <v>1</v>
      <v>5</v>
    </spb>
    <spb s="0">
      <v>5</v>
      <v>Name</v>
    </spb>
    <spb s="15">
      <v>1</v>
      <v>2</v>
      <v>1</v>
      <v>3</v>
      <v>1</v>
      <v>1</v>
      <v>1</v>
      <v>4</v>
      <v>4</v>
      <v>5</v>
      <v>6</v>
      <v>1</v>
      <v>1</v>
      <v>1</v>
      <v>4</v>
      <v>7</v>
      <v>8</v>
      <v>9</v>
      <v>4</v>
    </spb>
    <spb s="5">
      <v>6</v>
      <v>Name</v>
      <v>LearnMoreOnLink</v>
    </spb>
    <spb s="16">
      <v>1</v>
      <v>2</v>
      <v>2</v>
      <v>1</v>
      <v>3</v>
      <v>1</v>
      <v>1</v>
      <v>1</v>
      <v>4</v>
      <v>4</v>
      <v>5</v>
      <v>6</v>
      <v>1</v>
      <v>1</v>
      <v>1</v>
      <v>4</v>
      <v>7</v>
      <v>8</v>
      <v>9</v>
      <v>4</v>
      <v>1</v>
      <v>1</v>
      <v>5</v>
    </spb>
    <spb s="5">
      <v>7</v>
      <v>Name</v>
      <v>LearnMoreOnLink</v>
    </spb>
    <spb s="17">
      <v>1</v>
      <v>2</v>
      <v>2</v>
      <v>1</v>
      <v>3</v>
      <v>1</v>
      <v>1</v>
      <v>1</v>
      <v>4</v>
      <v>4</v>
      <v>5</v>
      <v>6</v>
      <v>1</v>
      <v>1</v>
      <v>1</v>
      <v>4</v>
      <v>7</v>
      <v>9</v>
      <v>4</v>
    </spb>
    <spb s="7">
      <v>11</v>
      <v>2</v>
      <v>2</v>
      <v>11</v>
      <v>3</v>
      <v>11</v>
      <v>11</v>
      <v>11</v>
      <v>4</v>
      <v>4</v>
      <v>5</v>
      <v>12</v>
      <v>11</v>
      <v>11</v>
      <v>11</v>
      <v>4</v>
      <v>7</v>
      <v>8</v>
      <v>9</v>
      <v>4</v>
    </spb>
    <spb s="18">
      <v>Real-Time Nasdaq Last Sale</v>
      <v>from previous close</v>
      <v>from previous close</v>
      <v>Source: Nasdaq Last Sale</v>
      <v>GMT</v>
    </spb>
    <spb s="11">
      <v>11</v>
      <v>2</v>
      <v>2</v>
      <v>11</v>
      <v>3</v>
      <v>11</v>
      <v>10</v>
      <v>11</v>
      <v>11</v>
      <v>4</v>
      <v>4</v>
      <v>5</v>
      <v>12</v>
      <v>11</v>
      <v>11</v>
      <v>11</v>
      <v>4</v>
      <v>7</v>
      <v>8</v>
      <v>9</v>
      <v>4</v>
    </spb>
  </spbData>
</supportingPropertyBags>
</file>

<file path=xl/richData/rdsupportingpropertybagstructure.xml><?xml version="1.0" encoding="utf-8"?>
<spbStructures xmlns="http://schemas.microsoft.com/office/spreadsheetml/2017/richdata2" count="19">
  <s>
    <k n="^Order" t="spba"/>
    <k n="TitleProperty" t="s"/>
  </s>
  <s>
    <k n="ShowInCardView" t="b"/>
    <k n="ShowInDotNotation" t="b"/>
    <k n="ShowInAutoComplete" t="b"/>
  </s>
  <s>
    <k n="ExchangeID" t="spb"/>
    <k n="UniqueName" t="spb"/>
    <k n="`%ProviderInfo" t="spb"/>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Order" t="spba"/>
    <k n="TitleProperty" t="s"/>
    <k n="SubTitleProperty" t="s"/>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k n="LearnMoreOnLink" t="spb"/>
  </s>
  <s>
    <k n="Low" t="i"/>
    <k n="High" t="i"/>
    <k n="Name" t="i"/>
    <k n="Open" t="i"/>
    <k n="Price" t="i"/>
    <k n="Change" t="i"/>
    <k n="Volume" t="i"/>
    <k n="Change (%)" t="i"/>
    <k n="52 week low" t="i"/>
    <k n="52 week high" t="i"/>
    <k n="Previous close" t="i"/>
    <k n="Last trade time" t="i"/>
    <k n="`%EntityServiceId" t="i"/>
    <k n="Price (Extended hours)" t="i"/>
    <k n="Change (Extended hours)" t="i"/>
    <k n="Change % (Extended hours)"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Price" t="s"/>
    <k n="Change" t="s"/>
    <k n="Change (%)" t="s"/>
    <k n="ExchangeID"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_([$₹-en-IN]* #,##0.00_);_([$₹-en-IN]* (#,##0.00);_([$₹-en-IN]* "-"??_);_(@_)</rpv>
    </rSty>
    <rSty dxfid="5">
      <rpv i="0">#,##0.00</rpv>
    </rSty>
    <rSty>
      <rpv i="1">1</rpv>
    </rSty>
    <rSty dxfid="4">
      <rpv i="0">#,##0</rpv>
    </rSty>
    <rSty dxfid="3"/>
    <rSty dxfid="1">
      <rpv i="0">_([$₹-en-IN]* #,##0_);_([$₹-en-IN]* (#,##0);_([$₹-en-IN]* "-"_);_(@_)</rpv>
    </rSty>
    <rSty dxfid="2"/>
    <rSty dxfid="6">
      <rpv i="0">0</rpv>
    </rSty>
    <rSty dxfid="0">
      <rpv i="0">0.00</rpv>
    </rSty>
    <rSty>
      <rpv i="2">1</rpv>
    </rSty>
    <rSty dxfid="1">
      <rpv i="0">_([$$-en-US]* #,##0.00_);_([$$-en-US]* (#,##0.00);_([$$-en-US]* "-"??_);_(@_)</rpv>
    </rSty>
    <rSty dxfid="1">
      <rpv i="0">_([$$-en-US]* #,##0_);_([$$-en-US]* (#,##0);_([$$-en-US]* "-"_);_(@_)</rpv>
    </rSty>
  </richStyles>
</richStyleShee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C3E50"/>
  </sheetPr>
  <dimension ref="B2:C35"/>
  <sheetViews>
    <sheetView showGridLines="0" workbookViewId="0"/>
  </sheetViews>
  <sheetFormatPr baseColWidth="10" defaultColWidth="8.83203125" defaultRowHeight="15" x14ac:dyDescent="0.2"/>
  <cols>
    <col min="1" max="1" width="5.6640625" customWidth="1"/>
    <col min="2" max="2" width="30.6640625" customWidth="1"/>
    <col min="3" max="3" width="60.6640625" customWidth="1"/>
  </cols>
  <sheetData>
    <row r="2" spans="2:3" ht="26" x14ac:dyDescent="0.3">
      <c r="B2" s="23" t="s">
        <v>0</v>
      </c>
      <c r="C2" s="23"/>
    </row>
    <row r="3" spans="2:3" ht="17" x14ac:dyDescent="0.2">
      <c r="B3" s="24" t="s">
        <v>1</v>
      </c>
      <c r="C3" s="24"/>
    </row>
    <row r="5" spans="2:3" ht="17" x14ac:dyDescent="0.2">
      <c r="B5" s="25" t="s">
        <v>2</v>
      </c>
      <c r="C5" s="25"/>
    </row>
    <row r="7" spans="2:3" ht="32" x14ac:dyDescent="0.2">
      <c r="B7" s="1" t="s">
        <v>3</v>
      </c>
      <c r="C7" s="2" t="s">
        <v>4</v>
      </c>
    </row>
    <row r="8" spans="2:3" ht="32" x14ac:dyDescent="0.2">
      <c r="B8" s="3" t="s">
        <v>5</v>
      </c>
      <c r="C8" s="2" t="s">
        <v>6</v>
      </c>
    </row>
    <row r="9" spans="2:3" ht="32" x14ac:dyDescent="0.2">
      <c r="B9" s="4" t="s">
        <v>7</v>
      </c>
      <c r="C9" s="2" t="s">
        <v>8</v>
      </c>
    </row>
    <row r="10" spans="2:3" ht="32" x14ac:dyDescent="0.2">
      <c r="B10" s="5" t="s">
        <v>9</v>
      </c>
      <c r="C10" s="2" t="s">
        <v>10</v>
      </c>
    </row>
    <row r="11" spans="2:3" ht="32" x14ac:dyDescent="0.2">
      <c r="B11" s="6" t="s">
        <v>11</v>
      </c>
      <c r="C11" s="2" t="s">
        <v>12</v>
      </c>
    </row>
    <row r="12" spans="2:3" ht="32" x14ac:dyDescent="0.2">
      <c r="B12" s="7" t="s">
        <v>13</v>
      </c>
      <c r="C12" s="2" t="s">
        <v>14</v>
      </c>
    </row>
    <row r="15" spans="2:3" ht="17" x14ac:dyDescent="0.2">
      <c r="B15" s="25" t="s">
        <v>15</v>
      </c>
      <c r="C15" s="25"/>
    </row>
    <row r="17" spans="2:3" ht="32" x14ac:dyDescent="0.2">
      <c r="B17" s="8" t="s">
        <v>16</v>
      </c>
      <c r="C17" s="9" t="s">
        <v>17</v>
      </c>
    </row>
    <row r="19" spans="2:3" ht="32" x14ac:dyDescent="0.2">
      <c r="B19" s="8" t="s">
        <v>18</v>
      </c>
      <c r="C19" s="9" t="s">
        <v>19</v>
      </c>
    </row>
    <row r="21" spans="2:3" ht="32" x14ac:dyDescent="0.2">
      <c r="B21" s="8" t="s">
        <v>20</v>
      </c>
      <c r="C21" s="9" t="s">
        <v>21</v>
      </c>
    </row>
    <row r="23" spans="2:3" ht="32" x14ac:dyDescent="0.2">
      <c r="B23" s="8" t="s">
        <v>22</v>
      </c>
      <c r="C23" s="9" t="s">
        <v>23</v>
      </c>
    </row>
    <row r="25" spans="2:3" ht="32" x14ac:dyDescent="0.2">
      <c r="B25" s="8" t="s">
        <v>24</v>
      </c>
      <c r="C25" s="9" t="s">
        <v>25</v>
      </c>
    </row>
    <row r="28" spans="2:3" ht="17" x14ac:dyDescent="0.2">
      <c r="B28" s="25" t="s">
        <v>26</v>
      </c>
      <c r="C28" s="25"/>
    </row>
    <row r="30" spans="2:3" x14ac:dyDescent="0.2">
      <c r="B30" s="26" t="s">
        <v>27</v>
      </c>
      <c r="C30" s="26"/>
    </row>
    <row r="31" spans="2:3" x14ac:dyDescent="0.2">
      <c r="B31" s="26" t="s">
        <v>28</v>
      </c>
      <c r="C31" s="26"/>
    </row>
    <row r="32" spans="2:3" x14ac:dyDescent="0.2">
      <c r="B32" s="26" t="s">
        <v>29</v>
      </c>
      <c r="C32" s="26"/>
    </row>
    <row r="33" spans="2:3" x14ac:dyDescent="0.2">
      <c r="B33" s="26" t="s">
        <v>30</v>
      </c>
      <c r="C33" s="26"/>
    </row>
    <row r="34" spans="2:3" x14ac:dyDescent="0.2">
      <c r="B34" s="26" t="s">
        <v>31</v>
      </c>
      <c r="C34" s="26"/>
    </row>
    <row r="35" spans="2:3" x14ac:dyDescent="0.2">
      <c r="B35" s="26" t="s">
        <v>32</v>
      </c>
      <c r="C35" s="26"/>
    </row>
  </sheetData>
  <mergeCells count="11">
    <mergeCell ref="B35:C35"/>
    <mergeCell ref="B30:C30"/>
    <mergeCell ref="B31:C31"/>
    <mergeCell ref="B32:C32"/>
    <mergeCell ref="B33:C33"/>
    <mergeCell ref="B34:C34"/>
    <mergeCell ref="B2:C2"/>
    <mergeCell ref="B3:C3"/>
    <mergeCell ref="B5:C5"/>
    <mergeCell ref="B15:C15"/>
    <mergeCell ref="B28:C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498DB"/>
  </sheetPr>
  <dimension ref="A1:P114"/>
  <sheetViews>
    <sheetView tabSelected="1" workbookViewId="0">
      <pane ySplit="2" topLeftCell="A3" activePane="bottomLeft" state="frozen"/>
      <selection pane="bottomLeft" activeCell="F3" sqref="F3:F114"/>
    </sheetView>
  </sheetViews>
  <sheetFormatPr baseColWidth="10" defaultColWidth="8.83203125" defaultRowHeight="15" x14ac:dyDescent="0.2"/>
  <cols>
    <col min="1" max="1" width="5.6640625" customWidth="1"/>
    <col min="2" max="2" width="30.6640625" customWidth="1"/>
    <col min="3" max="3" width="14.6640625" customWidth="1"/>
    <col min="4" max="5" width="10.6640625" customWidth="1"/>
    <col min="6" max="6" width="18.6640625" customWidth="1"/>
    <col min="7" max="13" width="14.6640625" customWidth="1"/>
    <col min="14" max="14" width="22.6640625" customWidth="1"/>
    <col min="15" max="15" width="14.6640625" customWidth="1"/>
    <col min="16" max="16" width="55.6640625" customWidth="1"/>
  </cols>
  <sheetData>
    <row r="1" spans="1:16" ht="30" customHeight="1" x14ac:dyDescent="0.2">
      <c r="A1" s="27" t="s">
        <v>33</v>
      </c>
      <c r="B1" s="27"/>
      <c r="C1" s="27"/>
      <c r="D1" s="27"/>
      <c r="E1" s="27"/>
      <c r="F1" s="27"/>
      <c r="G1" s="27"/>
      <c r="H1" s="27"/>
      <c r="I1" s="27"/>
      <c r="J1" s="27"/>
      <c r="K1" s="27"/>
      <c r="L1" s="27"/>
      <c r="M1" s="27"/>
      <c r="N1" s="27"/>
      <c r="O1" s="27"/>
      <c r="P1" s="27"/>
    </row>
    <row r="2" spans="1:16" ht="35" customHeight="1" x14ac:dyDescent="0.2">
      <c r="A2" s="10" t="s">
        <v>34</v>
      </c>
      <c r="B2" s="10" t="s">
        <v>35</v>
      </c>
      <c r="C2" s="10" t="s">
        <v>36</v>
      </c>
      <c r="D2" s="10" t="s">
        <v>37</v>
      </c>
      <c r="E2" s="10" t="s">
        <v>38</v>
      </c>
      <c r="F2" s="10" t="s">
        <v>39</v>
      </c>
      <c r="G2" s="10" t="s">
        <v>40</v>
      </c>
      <c r="H2" s="10" t="s">
        <v>41</v>
      </c>
      <c r="I2" s="10" t="s">
        <v>42</v>
      </c>
      <c r="J2" s="10" t="s">
        <v>43</v>
      </c>
      <c r="K2" s="10" t="s">
        <v>44</v>
      </c>
      <c r="L2" s="10" t="s">
        <v>45</v>
      </c>
      <c r="M2" s="10" t="s">
        <v>46</v>
      </c>
      <c r="N2" s="10" t="s">
        <v>47</v>
      </c>
      <c r="O2" s="10" t="s">
        <v>48</v>
      </c>
      <c r="P2" s="10" t="s">
        <v>49</v>
      </c>
    </row>
    <row r="3" spans="1:16" ht="22" customHeight="1" x14ac:dyDescent="0.2">
      <c r="A3" s="11">
        <v>1</v>
      </c>
      <c r="B3" s="12" t="s">
        <v>50</v>
      </c>
      <c r="C3" s="11" t="e" vm="1">
        <v>#VALUE!</v>
      </c>
      <c r="D3" s="11" t="s">
        <v>51</v>
      </c>
      <c r="E3" s="11" t="s">
        <v>52</v>
      </c>
      <c r="F3" s="13" cm="1">
        <f t="array" aca="1" ref="F3" ca="1">_FV(C3,"Price",TRUE)</f>
        <v>133.5</v>
      </c>
      <c r="G3" s="13">
        <v>100</v>
      </c>
      <c r="H3" s="13">
        <v>150</v>
      </c>
      <c r="I3" s="13">
        <v>250</v>
      </c>
      <c r="J3" s="13">
        <v>308</v>
      </c>
      <c r="K3" s="13">
        <v>193</v>
      </c>
      <c r="L3" s="13">
        <v>308</v>
      </c>
      <c r="M3" s="13">
        <v>400</v>
      </c>
      <c r="N3" s="11" t="str">
        <f t="shared" ref="N3:N24" ca="1" si="0">IF(F3="","Enter Price",IF(F3&lt;=G3,"Deep Value / Strong Buy",IF(F3&lt;=H3,"Value / Buy",IF(F3&lt;=I3,"Fair Value / Hold",IF(F3&lt;=J3,"Fully Valued / Trim","Overvalued / Sell")))))</f>
        <v>Value / Buy</v>
      </c>
      <c r="O3" s="11">
        <f t="shared" ref="O3:O34" ca="1" si="1">IF(OR(F3="",F3=0),"N/A",ROUND((L3-F3)/F3*100,1))</f>
        <v>130.69999999999999</v>
      </c>
      <c r="P3" s="14" t="s">
        <v>53</v>
      </c>
    </row>
    <row r="4" spans="1:16" ht="22" customHeight="1" x14ac:dyDescent="0.2">
      <c r="A4" s="15">
        <v>2</v>
      </c>
      <c r="B4" s="16" t="s">
        <v>54</v>
      </c>
      <c r="C4" s="15" t="e" vm="2">
        <v>#VALUE!</v>
      </c>
      <c r="D4" s="15" t="s">
        <v>55</v>
      </c>
      <c r="E4" s="15" t="s">
        <v>56</v>
      </c>
      <c r="F4" s="13" cm="1">
        <f t="array" aca="1" ref="F4" ca="1">_FV(C4,"Price",TRUE)</f>
        <v>53.86</v>
      </c>
      <c r="G4" s="17">
        <v>26</v>
      </c>
      <c r="H4" s="17">
        <v>37</v>
      </c>
      <c r="I4" s="17">
        <v>45</v>
      </c>
      <c r="J4" s="17">
        <v>50</v>
      </c>
      <c r="K4" s="17">
        <v>30</v>
      </c>
      <c r="L4" s="17">
        <v>37</v>
      </c>
      <c r="M4" s="17">
        <v>50</v>
      </c>
      <c r="N4" s="15" t="str">
        <f t="shared" ca="1" si="0"/>
        <v>Overvalued / Sell</v>
      </c>
      <c r="O4" s="15">
        <f t="shared" ca="1" si="1"/>
        <v>-31.3</v>
      </c>
      <c r="P4" s="18" t="s">
        <v>57</v>
      </c>
    </row>
    <row r="5" spans="1:16" ht="22" customHeight="1" x14ac:dyDescent="0.2">
      <c r="A5" s="11">
        <v>3</v>
      </c>
      <c r="B5" s="12" t="s">
        <v>58</v>
      </c>
      <c r="C5" s="11" t="e" vm="3">
        <v>#VALUE!</v>
      </c>
      <c r="D5" s="11" t="s">
        <v>55</v>
      </c>
      <c r="E5" s="11" t="s">
        <v>59</v>
      </c>
      <c r="F5" s="13" cm="1">
        <f t="array" aca="1" ref="F5" ca="1">_FV(C5,"Price",TRUE)</f>
        <v>451.2</v>
      </c>
      <c r="G5" s="13">
        <v>270</v>
      </c>
      <c r="H5" s="13">
        <v>380</v>
      </c>
      <c r="I5" s="13">
        <v>500</v>
      </c>
      <c r="J5" s="13">
        <v>588</v>
      </c>
      <c r="K5" s="13">
        <v>268</v>
      </c>
      <c r="L5" s="13">
        <v>588</v>
      </c>
      <c r="M5" s="13">
        <v>700</v>
      </c>
      <c r="N5" s="11" t="str">
        <f t="shared" ca="1" si="0"/>
        <v>Fair Value / Hold</v>
      </c>
      <c r="O5" s="11">
        <f t="shared" ca="1" si="1"/>
        <v>30.3</v>
      </c>
      <c r="P5" s="14" t="s">
        <v>60</v>
      </c>
    </row>
    <row r="6" spans="1:16" ht="22" customHeight="1" x14ac:dyDescent="0.2">
      <c r="A6" s="15">
        <v>4</v>
      </c>
      <c r="B6" s="16" t="s">
        <v>61</v>
      </c>
      <c r="C6" s="15" t="e" vm="4">
        <v>#VALUE!</v>
      </c>
      <c r="D6" s="15" t="s">
        <v>55</v>
      </c>
      <c r="E6" s="15" t="s">
        <v>62</v>
      </c>
      <c r="F6" s="13" cm="1">
        <f t="array" aca="1" ref="F6" ca="1">_FV(C6,"Price",TRUE)</f>
        <v>2004.5</v>
      </c>
      <c r="G6" s="17">
        <v>820</v>
      </c>
      <c r="H6" s="17">
        <v>1200</v>
      </c>
      <c r="I6" s="17">
        <v>1500</v>
      </c>
      <c r="J6" s="17">
        <v>1800</v>
      </c>
      <c r="K6" s="17">
        <v>1000</v>
      </c>
      <c r="L6" s="17">
        <v>1500</v>
      </c>
      <c r="M6" s="17">
        <v>2000</v>
      </c>
      <c r="N6" s="15" t="str">
        <f t="shared" ca="1" si="0"/>
        <v>Overvalued / Sell</v>
      </c>
      <c r="O6" s="15">
        <f t="shared" ca="1" si="1"/>
        <v>-25.2</v>
      </c>
      <c r="P6" s="18" t="s">
        <v>63</v>
      </c>
    </row>
    <row r="7" spans="1:16" ht="22" customHeight="1" x14ac:dyDescent="0.2">
      <c r="A7" s="11">
        <v>5</v>
      </c>
      <c r="B7" s="12" t="s">
        <v>64</v>
      </c>
      <c r="C7" s="11" t="e" vm="5">
        <v>#VALUE!</v>
      </c>
      <c r="D7" s="11" t="s">
        <v>55</v>
      </c>
      <c r="E7" s="11" t="s">
        <v>65</v>
      </c>
      <c r="F7" s="13" cm="1">
        <f t="array" aca="1" ref="F7" ca="1">_FV(C7,"Price",TRUE)</f>
        <v>423.85</v>
      </c>
      <c r="G7" s="13">
        <v>200</v>
      </c>
      <c r="H7" s="13">
        <v>270</v>
      </c>
      <c r="I7" s="13">
        <v>356</v>
      </c>
      <c r="J7" s="13">
        <v>420</v>
      </c>
      <c r="K7" s="13">
        <v>229</v>
      </c>
      <c r="L7" s="13">
        <v>356</v>
      </c>
      <c r="M7" s="13">
        <v>519</v>
      </c>
      <c r="N7" s="11" t="str">
        <f t="shared" ca="1" si="0"/>
        <v>Overvalued / Sell</v>
      </c>
      <c r="O7" s="11">
        <f t="shared" ca="1" si="1"/>
        <v>-16</v>
      </c>
      <c r="P7" s="14" t="s">
        <v>66</v>
      </c>
    </row>
    <row r="8" spans="1:16" ht="22" customHeight="1" x14ac:dyDescent="0.2">
      <c r="A8" s="15">
        <v>6</v>
      </c>
      <c r="B8" s="16" t="s">
        <v>67</v>
      </c>
      <c r="C8" s="15" t="e" vm="6">
        <v>#VALUE!</v>
      </c>
      <c r="D8" s="15" t="s">
        <v>55</v>
      </c>
      <c r="E8" s="15" t="s">
        <v>68</v>
      </c>
      <c r="F8" s="13" cm="1">
        <f t="array" aca="1" ref="F8" ca="1">_FV(C8,"Price",TRUE)</f>
        <v>526.20000000000005</v>
      </c>
      <c r="G8" s="17">
        <v>400</v>
      </c>
      <c r="H8" s="17">
        <v>600</v>
      </c>
      <c r="I8" s="17">
        <v>839</v>
      </c>
      <c r="J8" s="17">
        <v>1200</v>
      </c>
      <c r="K8" s="17">
        <v>839</v>
      </c>
      <c r="L8" s="17">
        <v>1563</v>
      </c>
      <c r="M8" s="17">
        <v>2000</v>
      </c>
      <c r="N8" s="15" t="str">
        <f t="shared" ca="1" si="0"/>
        <v>Value / Buy</v>
      </c>
      <c r="O8" s="15">
        <f t="shared" ca="1" si="1"/>
        <v>197</v>
      </c>
      <c r="P8" s="18" t="s">
        <v>69</v>
      </c>
    </row>
    <row r="9" spans="1:16" ht="22" customHeight="1" x14ac:dyDescent="0.2">
      <c r="A9" s="11">
        <v>7</v>
      </c>
      <c r="B9" s="12" t="s">
        <v>70</v>
      </c>
      <c r="C9" s="11" t="e" vm="7">
        <v>#VALUE!</v>
      </c>
      <c r="D9" s="11" t="s">
        <v>55</v>
      </c>
      <c r="E9" s="11" t="s">
        <v>71</v>
      </c>
      <c r="F9" s="13" cm="1">
        <f t="array" aca="1" ref="F9" ca="1">_FV(C9,"Price",TRUE)</f>
        <v>1065.6500000000001</v>
      </c>
      <c r="G9" s="13">
        <v>400</v>
      </c>
      <c r="H9" s="13">
        <v>610</v>
      </c>
      <c r="I9" s="13">
        <v>750</v>
      </c>
      <c r="J9" s="13">
        <v>900</v>
      </c>
      <c r="K9" s="13">
        <v>485</v>
      </c>
      <c r="L9" s="13">
        <v>610</v>
      </c>
      <c r="M9" s="13">
        <v>800</v>
      </c>
      <c r="N9" s="11" t="str">
        <f t="shared" ca="1" si="0"/>
        <v>Overvalued / Sell</v>
      </c>
      <c r="O9" s="11">
        <f t="shared" ca="1" si="1"/>
        <v>-42.8</v>
      </c>
      <c r="P9" s="14" t="s">
        <v>72</v>
      </c>
    </row>
    <row r="10" spans="1:16" ht="22" customHeight="1" x14ac:dyDescent="0.2">
      <c r="A10" s="15">
        <v>8</v>
      </c>
      <c r="B10" s="16" t="s">
        <v>73</v>
      </c>
      <c r="C10" s="15" t="e" vm="8">
        <v>#VALUE!</v>
      </c>
      <c r="D10" s="15" t="s">
        <v>55</v>
      </c>
      <c r="E10" s="15" t="s">
        <v>74</v>
      </c>
      <c r="F10" s="13" cm="1">
        <f t="array" aca="1" ref="F10" ca="1">_FV(C10,"Price",TRUE)</f>
        <v>4443.5</v>
      </c>
      <c r="G10" s="17">
        <v>1316</v>
      </c>
      <c r="H10" s="17">
        <v>1974</v>
      </c>
      <c r="I10" s="17">
        <v>2500</v>
      </c>
      <c r="J10" s="17">
        <v>3000</v>
      </c>
      <c r="K10" s="17">
        <v>1316</v>
      </c>
      <c r="L10" s="17">
        <v>2015</v>
      </c>
      <c r="M10" s="17">
        <v>2500</v>
      </c>
      <c r="N10" s="15" t="str">
        <f t="shared" ca="1" si="0"/>
        <v>Overvalued / Sell</v>
      </c>
      <c r="O10" s="15">
        <f t="shared" ca="1" si="1"/>
        <v>-54.7</v>
      </c>
      <c r="P10" s="18" t="s">
        <v>75</v>
      </c>
    </row>
    <row r="11" spans="1:16" ht="22" customHeight="1" x14ac:dyDescent="0.2">
      <c r="A11" s="11">
        <v>9</v>
      </c>
      <c r="B11" s="12" t="s">
        <v>76</v>
      </c>
      <c r="C11" s="11" t="e" vm="9">
        <v>#VALUE!</v>
      </c>
      <c r="D11" s="11" t="s">
        <v>55</v>
      </c>
      <c r="E11" s="11" t="s">
        <v>77</v>
      </c>
      <c r="F11" s="13" cm="1">
        <f t="array" aca="1" ref="F11" ca="1">_FV(C11,"Price",TRUE)</f>
        <v>1365.9</v>
      </c>
      <c r="G11" s="13">
        <v>900</v>
      </c>
      <c r="H11" s="13">
        <v>1105</v>
      </c>
      <c r="I11" s="13">
        <v>1430</v>
      </c>
      <c r="J11" s="13">
        <v>1700</v>
      </c>
      <c r="K11" s="13">
        <v>1100</v>
      </c>
      <c r="L11" s="13">
        <v>1430</v>
      </c>
      <c r="M11" s="13">
        <v>3537</v>
      </c>
      <c r="N11" s="11" t="str">
        <f t="shared" ca="1" si="0"/>
        <v>Fair Value / Hold</v>
      </c>
      <c r="O11" s="11">
        <f t="shared" ca="1" si="1"/>
        <v>4.7</v>
      </c>
      <c r="P11" s="14" t="s">
        <v>78</v>
      </c>
    </row>
    <row r="12" spans="1:16" ht="22" customHeight="1" x14ac:dyDescent="0.2">
      <c r="A12" s="15">
        <v>10</v>
      </c>
      <c r="B12" s="16" t="s">
        <v>79</v>
      </c>
      <c r="C12" s="15" t="e" vm="10">
        <v>#VALUE!</v>
      </c>
      <c r="D12" s="15" t="s">
        <v>55</v>
      </c>
      <c r="E12" s="15" t="s">
        <v>80</v>
      </c>
      <c r="F12" s="13" cm="1">
        <f t="array" aca="1" ref="F12" ca="1">_FV(C12,"Price",TRUE)</f>
        <v>174.67</v>
      </c>
      <c r="G12" s="17">
        <v>103</v>
      </c>
      <c r="H12" s="17">
        <v>150</v>
      </c>
      <c r="I12" s="17">
        <v>183</v>
      </c>
      <c r="J12" s="17">
        <v>230</v>
      </c>
      <c r="K12" s="17">
        <v>103</v>
      </c>
      <c r="L12" s="17">
        <v>183</v>
      </c>
      <c r="M12" s="17">
        <v>289</v>
      </c>
      <c r="N12" s="15" t="str">
        <f t="shared" ca="1" si="0"/>
        <v>Fair Value / Hold</v>
      </c>
      <c r="O12" s="15">
        <f t="shared" ca="1" si="1"/>
        <v>4.8</v>
      </c>
      <c r="P12" s="18" t="s">
        <v>81</v>
      </c>
    </row>
    <row r="13" spans="1:16" ht="22" customHeight="1" x14ac:dyDescent="0.2">
      <c r="A13" s="11">
        <v>11</v>
      </c>
      <c r="B13" s="12" t="s">
        <v>82</v>
      </c>
      <c r="C13" s="11" t="e" vm="11">
        <v>#VALUE!</v>
      </c>
      <c r="D13" s="11" t="s">
        <v>55</v>
      </c>
      <c r="E13" s="11" t="s">
        <v>68</v>
      </c>
      <c r="F13" s="13" cm="1">
        <f t="array" aca="1" ref="F13" ca="1">_FV(C13,"Price",TRUE)</f>
        <v>274.13</v>
      </c>
      <c r="G13" s="13">
        <v>180</v>
      </c>
      <c r="H13" s="13">
        <v>230</v>
      </c>
      <c r="I13" s="13">
        <v>307</v>
      </c>
      <c r="J13" s="13">
        <v>370</v>
      </c>
      <c r="K13" s="13">
        <v>230</v>
      </c>
      <c r="L13" s="13">
        <v>307</v>
      </c>
      <c r="M13" s="13">
        <v>400</v>
      </c>
      <c r="N13" s="11" t="str">
        <f t="shared" ca="1" si="0"/>
        <v>Fair Value / Hold</v>
      </c>
      <c r="O13" s="11">
        <f t="shared" ca="1" si="1"/>
        <v>12</v>
      </c>
      <c r="P13" s="14" t="s">
        <v>83</v>
      </c>
    </row>
    <row r="14" spans="1:16" ht="22" customHeight="1" x14ac:dyDescent="0.2">
      <c r="A14" s="15">
        <v>12</v>
      </c>
      <c r="B14" s="16" t="s">
        <v>84</v>
      </c>
      <c r="C14" s="15" t="e" vm="12">
        <v>#VALUE!</v>
      </c>
      <c r="D14" s="15" t="s">
        <v>55</v>
      </c>
      <c r="E14" s="15" t="s">
        <v>85</v>
      </c>
      <c r="F14" s="13" cm="1">
        <f t="array" aca="1" ref="F14" ca="1">_FV(C14,"Price",TRUE)</f>
        <v>147.44</v>
      </c>
      <c r="G14" s="17">
        <v>120</v>
      </c>
      <c r="H14" s="17">
        <v>150</v>
      </c>
      <c r="I14" s="17">
        <v>185</v>
      </c>
      <c r="J14" s="17">
        <v>220</v>
      </c>
      <c r="K14" s="17">
        <v>150</v>
      </c>
      <c r="L14" s="17">
        <v>185</v>
      </c>
      <c r="M14" s="17">
        <v>230</v>
      </c>
      <c r="N14" s="15" t="str">
        <f t="shared" ca="1" si="0"/>
        <v>Value / Buy</v>
      </c>
      <c r="O14" s="15">
        <f t="shared" ca="1" si="1"/>
        <v>25.5</v>
      </c>
      <c r="P14" s="18" t="s">
        <v>86</v>
      </c>
    </row>
    <row r="15" spans="1:16" ht="22" customHeight="1" x14ac:dyDescent="0.2">
      <c r="A15" s="11">
        <v>13</v>
      </c>
      <c r="B15" s="12" t="s">
        <v>87</v>
      </c>
      <c r="C15" s="11" t="e" vm="13">
        <v>#VALUE!</v>
      </c>
      <c r="D15" s="11" t="s">
        <v>55</v>
      </c>
      <c r="E15" s="11" t="s">
        <v>88</v>
      </c>
      <c r="F15" s="13" cm="1">
        <f t="array" aca="1" ref="F15" ca="1">_FV(C15,"Price",TRUE)</f>
        <v>444.45</v>
      </c>
      <c r="G15" s="13">
        <v>200</v>
      </c>
      <c r="H15" s="13">
        <v>280</v>
      </c>
      <c r="I15" s="13">
        <v>374</v>
      </c>
      <c r="J15" s="13">
        <v>450</v>
      </c>
      <c r="K15" s="13">
        <v>223</v>
      </c>
      <c r="L15" s="13">
        <v>374</v>
      </c>
      <c r="M15" s="13">
        <v>530</v>
      </c>
      <c r="N15" s="11" t="str">
        <f t="shared" ca="1" si="0"/>
        <v>Fully Valued / Trim</v>
      </c>
      <c r="O15" s="11">
        <f t="shared" ca="1" si="1"/>
        <v>-15.9</v>
      </c>
      <c r="P15" s="14" t="s">
        <v>89</v>
      </c>
    </row>
    <row r="16" spans="1:16" ht="22" customHeight="1" x14ac:dyDescent="0.2">
      <c r="A16" s="15">
        <v>14</v>
      </c>
      <c r="B16" s="16" t="s">
        <v>90</v>
      </c>
      <c r="C16" s="15" t="e" vm="14">
        <v>#VALUE!</v>
      </c>
      <c r="D16" s="15" t="s">
        <v>55</v>
      </c>
      <c r="E16" s="15" t="s">
        <v>91</v>
      </c>
      <c r="F16" s="13" cm="1">
        <f t="array" aca="1" ref="F16" ca="1">_FV(C16,"Price",TRUE)</f>
        <v>1814.5</v>
      </c>
      <c r="G16" s="17">
        <v>1200</v>
      </c>
      <c r="H16" s="17">
        <v>1500</v>
      </c>
      <c r="I16" s="17">
        <v>1800</v>
      </c>
      <c r="J16" s="17">
        <v>2200</v>
      </c>
      <c r="K16" s="17">
        <v>1400</v>
      </c>
      <c r="L16" s="17">
        <v>3572</v>
      </c>
      <c r="M16" s="17">
        <v>4500</v>
      </c>
      <c r="N16" s="15" t="str">
        <f t="shared" ca="1" si="0"/>
        <v>Fully Valued / Trim</v>
      </c>
      <c r="O16" s="15">
        <f t="shared" ca="1" si="1"/>
        <v>96.9</v>
      </c>
      <c r="P16" s="18" t="s">
        <v>92</v>
      </c>
    </row>
    <row r="17" spans="1:16" ht="22" customHeight="1" x14ac:dyDescent="0.2">
      <c r="A17" s="11">
        <v>15</v>
      </c>
      <c r="B17" s="12" t="s">
        <v>93</v>
      </c>
      <c r="C17" s="11" t="e" vm="15">
        <v>#VALUE!</v>
      </c>
      <c r="D17" s="11" t="s">
        <v>55</v>
      </c>
      <c r="E17" s="11" t="s">
        <v>94</v>
      </c>
      <c r="F17" s="13" cm="1">
        <f t="array" aca="1" ref="F17" ca="1">_FV(C17,"Price",TRUE)</f>
        <v>218.02</v>
      </c>
      <c r="G17" s="13">
        <v>95</v>
      </c>
      <c r="H17" s="13">
        <v>119</v>
      </c>
      <c r="I17" s="13">
        <v>187</v>
      </c>
      <c r="J17" s="13">
        <v>259</v>
      </c>
      <c r="K17" s="13">
        <v>119</v>
      </c>
      <c r="L17" s="13">
        <v>259</v>
      </c>
      <c r="M17" s="13">
        <v>350</v>
      </c>
      <c r="N17" s="11" t="str">
        <f t="shared" ca="1" si="0"/>
        <v>Fully Valued / Trim</v>
      </c>
      <c r="O17" s="11">
        <f t="shared" ca="1" si="1"/>
        <v>18.8</v>
      </c>
      <c r="P17" s="14" t="s">
        <v>95</v>
      </c>
    </row>
    <row r="18" spans="1:16" ht="22" customHeight="1" x14ac:dyDescent="0.2">
      <c r="A18" s="15">
        <v>16</v>
      </c>
      <c r="B18" s="16" t="s">
        <v>96</v>
      </c>
      <c r="C18" s="15" t="e" vm="16">
        <v>#VALUE!</v>
      </c>
      <c r="D18" s="15" t="s">
        <v>55</v>
      </c>
      <c r="E18" s="15" t="s">
        <v>97</v>
      </c>
      <c r="F18" s="13" cm="1">
        <f t="array" aca="1" ref="F18" ca="1">_FV(C18,"Price",TRUE)</f>
        <v>140.85</v>
      </c>
      <c r="G18" s="17">
        <v>90</v>
      </c>
      <c r="H18" s="17">
        <v>120</v>
      </c>
      <c r="I18" s="17">
        <v>160</v>
      </c>
      <c r="J18" s="17">
        <v>200</v>
      </c>
      <c r="K18" s="17">
        <v>120</v>
      </c>
      <c r="L18" s="17">
        <v>160</v>
      </c>
      <c r="M18" s="17">
        <v>220</v>
      </c>
      <c r="N18" s="15" t="str">
        <f t="shared" ca="1" si="0"/>
        <v>Fair Value / Hold</v>
      </c>
      <c r="O18" s="15">
        <f t="shared" ca="1" si="1"/>
        <v>13.6</v>
      </c>
      <c r="P18" s="18" t="s">
        <v>98</v>
      </c>
    </row>
    <row r="19" spans="1:16" ht="22" customHeight="1" x14ac:dyDescent="0.2">
      <c r="A19" s="11">
        <v>17</v>
      </c>
      <c r="B19" s="12" t="s">
        <v>99</v>
      </c>
      <c r="C19" s="11" t="e" vm="17">
        <v>#VALUE!</v>
      </c>
      <c r="D19" s="11" t="s">
        <v>55</v>
      </c>
      <c r="E19" s="11" t="s">
        <v>100</v>
      </c>
      <c r="F19" s="13" cm="1">
        <f t="array" aca="1" ref="F19" ca="1">_FV(C19,"Price",TRUE)</f>
        <v>1719.5</v>
      </c>
      <c r="G19" s="13">
        <v>1200</v>
      </c>
      <c r="H19" s="13">
        <v>1565</v>
      </c>
      <c r="I19" s="13">
        <v>1947</v>
      </c>
      <c r="J19" s="13">
        <v>2500</v>
      </c>
      <c r="K19" s="13">
        <v>1947</v>
      </c>
      <c r="L19" s="13">
        <v>2700</v>
      </c>
      <c r="M19" s="13">
        <v>3452</v>
      </c>
      <c r="N19" s="11" t="str">
        <f t="shared" ca="1" si="0"/>
        <v>Fair Value / Hold</v>
      </c>
      <c r="O19" s="11">
        <f t="shared" ca="1" si="1"/>
        <v>57</v>
      </c>
      <c r="P19" s="14" t="s">
        <v>101</v>
      </c>
    </row>
    <row r="20" spans="1:16" ht="22" customHeight="1" x14ac:dyDescent="0.2">
      <c r="A20" s="15">
        <v>18</v>
      </c>
      <c r="B20" s="16" t="s">
        <v>102</v>
      </c>
      <c r="C20" s="15" t="e" vm="18">
        <v>#VALUE!</v>
      </c>
      <c r="D20" s="15" t="s">
        <v>55</v>
      </c>
      <c r="E20" s="15" t="s">
        <v>103</v>
      </c>
      <c r="F20" s="13" cm="1">
        <f t="array" aca="1" ref="F20" ca="1">_FV(C20,"Price",TRUE)</f>
        <v>182.79</v>
      </c>
      <c r="G20" s="17">
        <v>120</v>
      </c>
      <c r="H20" s="17">
        <v>150</v>
      </c>
      <c r="I20" s="17">
        <v>190</v>
      </c>
      <c r="J20" s="17">
        <v>216</v>
      </c>
      <c r="K20" s="17">
        <v>150</v>
      </c>
      <c r="L20" s="17">
        <v>216</v>
      </c>
      <c r="M20" s="17">
        <v>250</v>
      </c>
      <c r="N20" s="15" t="str">
        <f t="shared" ca="1" si="0"/>
        <v>Fair Value / Hold</v>
      </c>
      <c r="O20" s="15">
        <f t="shared" ca="1" si="1"/>
        <v>18.2</v>
      </c>
      <c r="P20" s="18" t="s">
        <v>104</v>
      </c>
    </row>
    <row r="21" spans="1:16" ht="22" customHeight="1" x14ac:dyDescent="0.2">
      <c r="A21" s="11">
        <v>19</v>
      </c>
      <c r="B21" s="12" t="s">
        <v>105</v>
      </c>
      <c r="C21" s="11" t="e" vm="19">
        <v>#VALUE!</v>
      </c>
      <c r="D21" s="11" t="s">
        <v>55</v>
      </c>
      <c r="E21" s="11" t="s">
        <v>59</v>
      </c>
      <c r="F21" s="13" cm="1">
        <f t="array" aca="1" ref="F21" ca="1">_FV(C21,"Price",TRUE)</f>
        <v>3476.2</v>
      </c>
      <c r="G21" s="13">
        <v>1000</v>
      </c>
      <c r="H21" s="13">
        <v>1350</v>
      </c>
      <c r="I21" s="13">
        <v>2000</v>
      </c>
      <c r="J21" s="13">
        <v>2315</v>
      </c>
      <c r="K21" s="13">
        <v>1349</v>
      </c>
      <c r="L21" s="13">
        <v>2315</v>
      </c>
      <c r="M21" s="13">
        <v>2800</v>
      </c>
      <c r="N21" s="11" t="str">
        <f t="shared" ca="1" si="0"/>
        <v>Overvalued / Sell</v>
      </c>
      <c r="O21" s="11">
        <f t="shared" ca="1" si="1"/>
        <v>-33.4</v>
      </c>
      <c r="P21" s="14" t="s">
        <v>106</v>
      </c>
    </row>
    <row r="22" spans="1:16" ht="22" customHeight="1" x14ac:dyDescent="0.2">
      <c r="A22" s="15">
        <v>20</v>
      </c>
      <c r="B22" s="16" t="s">
        <v>107</v>
      </c>
      <c r="C22" s="15" t="e" vm="20">
        <v>#VALUE!</v>
      </c>
      <c r="D22" s="15" t="s">
        <v>55</v>
      </c>
      <c r="E22" s="15" t="s">
        <v>77</v>
      </c>
      <c r="F22" s="13" cm="1">
        <f t="array" aca="1" ref="F22" ca="1">_FV(C22,"Price",TRUE)</f>
        <v>456</v>
      </c>
      <c r="G22" s="17">
        <v>300</v>
      </c>
      <c r="H22" s="17">
        <v>400</v>
      </c>
      <c r="I22" s="17">
        <v>491</v>
      </c>
      <c r="J22" s="17">
        <v>600</v>
      </c>
      <c r="K22" s="17">
        <v>491</v>
      </c>
      <c r="L22" s="17">
        <v>693</v>
      </c>
      <c r="M22" s="17">
        <v>850</v>
      </c>
      <c r="N22" s="15" t="str">
        <f t="shared" ca="1" si="0"/>
        <v>Fair Value / Hold</v>
      </c>
      <c r="O22" s="15">
        <f t="shared" ca="1" si="1"/>
        <v>52</v>
      </c>
      <c r="P22" s="18" t="s">
        <v>108</v>
      </c>
    </row>
    <row r="23" spans="1:16" ht="22" customHeight="1" x14ac:dyDescent="0.2">
      <c r="A23" s="11">
        <v>21</v>
      </c>
      <c r="B23" s="12" t="s">
        <v>109</v>
      </c>
      <c r="C23" s="11" t="e" vm="21">
        <v>#VALUE!</v>
      </c>
      <c r="D23" s="11" t="s">
        <v>55</v>
      </c>
      <c r="E23" s="11" t="s">
        <v>77</v>
      </c>
      <c r="F23" s="13" cm="1">
        <f t="array" aca="1" ref="F23" ca="1">_FV(C23,"Price",TRUE)</f>
        <v>2171.3000000000002</v>
      </c>
      <c r="G23" s="13">
        <v>1100</v>
      </c>
      <c r="H23" s="13">
        <v>1370</v>
      </c>
      <c r="I23" s="13">
        <v>1615</v>
      </c>
      <c r="J23" s="13">
        <v>1960</v>
      </c>
      <c r="K23" s="13">
        <v>1302</v>
      </c>
      <c r="L23" s="13">
        <v>1615</v>
      </c>
      <c r="M23" s="13">
        <v>1960</v>
      </c>
      <c r="N23" s="11" t="str">
        <f t="shared" ca="1" si="0"/>
        <v>Overvalued / Sell</v>
      </c>
      <c r="O23" s="11">
        <f t="shared" ca="1" si="1"/>
        <v>-25.6</v>
      </c>
      <c r="P23" s="14" t="s">
        <v>110</v>
      </c>
    </row>
    <row r="24" spans="1:16" ht="22" customHeight="1" x14ac:dyDescent="0.2">
      <c r="A24" s="15">
        <v>22</v>
      </c>
      <c r="B24" s="16" t="s">
        <v>111</v>
      </c>
      <c r="C24" s="15" t="e" vm="22">
        <v>#VALUE!</v>
      </c>
      <c r="D24" s="15" t="s">
        <v>55</v>
      </c>
      <c r="E24" s="15" t="s">
        <v>112</v>
      </c>
      <c r="F24" s="13" cm="1">
        <f t="array" aca="1" ref="F24" ca="1">_FV(C24,"Price",TRUE)</f>
        <v>4269.3999999999996</v>
      </c>
      <c r="G24" s="17">
        <v>2500</v>
      </c>
      <c r="H24" s="17">
        <v>3200</v>
      </c>
      <c r="I24" s="17">
        <v>3800</v>
      </c>
      <c r="J24" s="17">
        <v>4200</v>
      </c>
      <c r="K24" s="17">
        <v>3218</v>
      </c>
      <c r="L24" s="17">
        <v>3800</v>
      </c>
      <c r="M24" s="17">
        <v>4500</v>
      </c>
      <c r="N24" s="15" t="str">
        <f t="shared" ca="1" si="0"/>
        <v>Overvalued / Sell</v>
      </c>
      <c r="O24" s="15">
        <f t="shared" ca="1" si="1"/>
        <v>-11</v>
      </c>
      <c r="P24" s="18" t="s">
        <v>113</v>
      </c>
    </row>
    <row r="25" spans="1:16" ht="22" customHeight="1" x14ac:dyDescent="0.2">
      <c r="A25" s="11">
        <v>23</v>
      </c>
      <c r="B25" s="12" t="s">
        <v>114</v>
      </c>
      <c r="C25" s="11" t="e" vm="23">
        <v>#VALUE!</v>
      </c>
      <c r="D25" s="11" t="s">
        <v>55</v>
      </c>
      <c r="E25" s="11" t="s">
        <v>115</v>
      </c>
      <c r="F25" s="13" cm="1">
        <f t="array" aca="1" ref="F25" ca="1">_FV(C25,"Price",TRUE)</f>
        <v>113.09</v>
      </c>
      <c r="G25" s="13">
        <v>0</v>
      </c>
      <c r="H25" s="13">
        <v>0</v>
      </c>
      <c r="I25" s="13">
        <v>0</v>
      </c>
      <c r="J25" s="13">
        <v>0</v>
      </c>
      <c r="K25" s="13">
        <v>15</v>
      </c>
      <c r="L25" s="13">
        <v>25</v>
      </c>
      <c r="M25" s="13">
        <v>30</v>
      </c>
      <c r="N25" s="11" t="s">
        <v>116</v>
      </c>
      <c r="O25" s="11">
        <f t="shared" ca="1" si="1"/>
        <v>-77.900000000000006</v>
      </c>
      <c r="P25" s="14" t="s">
        <v>117</v>
      </c>
    </row>
    <row r="26" spans="1:16" ht="22" customHeight="1" x14ac:dyDescent="0.2">
      <c r="A26" s="15">
        <v>24</v>
      </c>
      <c r="B26" s="16" t="s">
        <v>118</v>
      </c>
      <c r="C26" s="15" t="e" vm="24">
        <v>#VALUE!</v>
      </c>
      <c r="D26" s="15" t="s">
        <v>55</v>
      </c>
      <c r="E26" s="15" t="s">
        <v>119</v>
      </c>
      <c r="F26" s="13" cm="1">
        <f t="array" aca="1" ref="F26" ca="1">_FV(C26,"Price",TRUE)</f>
        <v>451.1</v>
      </c>
      <c r="G26" s="17">
        <v>200</v>
      </c>
      <c r="H26" s="17">
        <v>280</v>
      </c>
      <c r="I26" s="17">
        <v>346</v>
      </c>
      <c r="J26" s="17">
        <v>420</v>
      </c>
      <c r="K26" s="17">
        <v>199</v>
      </c>
      <c r="L26" s="17">
        <v>280</v>
      </c>
      <c r="M26" s="17">
        <v>346</v>
      </c>
      <c r="N26" s="15" t="str">
        <f t="shared" ref="N26:N62" ca="1" si="2">IF(F26="","Enter Price",IF(F26&lt;=G26,"Deep Value / Strong Buy",IF(F26&lt;=H26,"Value / Buy",IF(F26&lt;=I26,"Fair Value / Hold",IF(F26&lt;=J26,"Fully Valued / Trim","Overvalued / Sell")))))</f>
        <v>Overvalued / Sell</v>
      </c>
      <c r="O26" s="15">
        <f t="shared" ca="1" si="1"/>
        <v>-37.9</v>
      </c>
      <c r="P26" s="18" t="s">
        <v>120</v>
      </c>
    </row>
    <row r="27" spans="1:16" ht="22" customHeight="1" x14ac:dyDescent="0.2">
      <c r="A27" s="11">
        <v>25</v>
      </c>
      <c r="B27" s="12" t="s">
        <v>121</v>
      </c>
      <c r="C27" s="11" t="e" vm="25">
        <v>#VALUE!</v>
      </c>
      <c r="D27" s="11" t="s">
        <v>55</v>
      </c>
      <c r="E27" s="11" t="s">
        <v>122</v>
      </c>
      <c r="F27" s="13" cm="1">
        <f t="array" aca="1" ref="F27" ca="1">_FV(C27,"Price",TRUE)</f>
        <v>4077.7</v>
      </c>
      <c r="G27" s="13">
        <v>1000</v>
      </c>
      <c r="H27" s="13">
        <v>1500</v>
      </c>
      <c r="I27" s="13">
        <v>2200</v>
      </c>
      <c r="J27" s="13">
        <v>3000</v>
      </c>
      <c r="K27" s="13">
        <v>1200</v>
      </c>
      <c r="L27" s="13">
        <v>1500</v>
      </c>
      <c r="M27" s="13">
        <v>2200</v>
      </c>
      <c r="N27" s="11" t="str">
        <f t="shared" ca="1" si="2"/>
        <v>Overvalued / Sell</v>
      </c>
      <c r="O27" s="11">
        <f t="shared" ca="1" si="1"/>
        <v>-63.2</v>
      </c>
      <c r="P27" s="14" t="s">
        <v>123</v>
      </c>
    </row>
    <row r="28" spans="1:16" ht="22" customHeight="1" x14ac:dyDescent="0.2">
      <c r="A28" s="15">
        <v>26</v>
      </c>
      <c r="B28" s="16" t="s">
        <v>124</v>
      </c>
      <c r="C28" s="15" t="e" vm="26">
        <v>#VALUE!</v>
      </c>
      <c r="D28" s="15" t="s">
        <v>51</v>
      </c>
      <c r="E28" s="15" t="s">
        <v>91</v>
      </c>
      <c r="F28" s="13" cm="1">
        <f t="array" aca="1" ref="F28" ca="1">_FV(C28,"Price",TRUE)</f>
        <v>76.989999999999995</v>
      </c>
      <c r="G28" s="17">
        <v>70</v>
      </c>
      <c r="H28" s="17">
        <v>90</v>
      </c>
      <c r="I28" s="17">
        <v>110</v>
      </c>
      <c r="J28" s="17">
        <v>130</v>
      </c>
      <c r="K28" s="17">
        <v>99</v>
      </c>
      <c r="L28" s="17">
        <v>130</v>
      </c>
      <c r="M28" s="17">
        <v>160</v>
      </c>
      <c r="N28" s="15" t="str">
        <f t="shared" ca="1" si="2"/>
        <v>Value / Buy</v>
      </c>
      <c r="O28" s="15">
        <f t="shared" ca="1" si="1"/>
        <v>68.900000000000006</v>
      </c>
      <c r="P28" s="18" t="s">
        <v>125</v>
      </c>
    </row>
    <row r="29" spans="1:16" ht="22" customHeight="1" x14ac:dyDescent="0.2">
      <c r="A29" s="11">
        <v>27</v>
      </c>
      <c r="B29" s="12" t="s">
        <v>126</v>
      </c>
      <c r="C29" s="11" t="e" vm="27">
        <v>#VALUE!</v>
      </c>
      <c r="D29" s="11" t="s">
        <v>55</v>
      </c>
      <c r="E29" s="11" t="s">
        <v>77</v>
      </c>
      <c r="F29" s="13" cm="1">
        <f t="array" aca="1" ref="F29" ca="1">_FV(C29,"Price",TRUE)</f>
        <v>183.29</v>
      </c>
      <c r="G29" s="13">
        <v>120</v>
      </c>
      <c r="H29" s="13">
        <v>178</v>
      </c>
      <c r="I29" s="13">
        <v>252</v>
      </c>
      <c r="J29" s="13">
        <v>400</v>
      </c>
      <c r="K29" s="13">
        <v>252</v>
      </c>
      <c r="L29" s="13">
        <v>560</v>
      </c>
      <c r="M29" s="13">
        <v>800</v>
      </c>
      <c r="N29" s="11" t="str">
        <f t="shared" ca="1" si="2"/>
        <v>Fair Value / Hold</v>
      </c>
      <c r="O29" s="11">
        <f t="shared" ca="1" si="1"/>
        <v>205.5</v>
      </c>
      <c r="P29" s="14" t="s">
        <v>127</v>
      </c>
    </row>
    <row r="30" spans="1:16" ht="22" customHeight="1" x14ac:dyDescent="0.2">
      <c r="A30" s="15">
        <v>28</v>
      </c>
      <c r="B30" s="16" t="s">
        <v>128</v>
      </c>
      <c r="C30" s="15" t="e" vm="28">
        <v>#VALUE!</v>
      </c>
      <c r="D30" s="15" t="s">
        <v>51</v>
      </c>
      <c r="E30" s="15" t="s">
        <v>129</v>
      </c>
      <c r="F30" s="13" cm="1">
        <f t="array" aca="1" ref="F30" ca="1">_FV(C30,"Price",TRUE)</f>
        <v>100</v>
      </c>
      <c r="G30" s="17">
        <v>40</v>
      </c>
      <c r="H30" s="17">
        <v>60</v>
      </c>
      <c r="I30" s="17">
        <v>100</v>
      </c>
      <c r="J30" s="17">
        <v>165</v>
      </c>
      <c r="K30" s="17">
        <v>80</v>
      </c>
      <c r="L30" s="17">
        <v>130</v>
      </c>
      <c r="M30" s="17">
        <v>211</v>
      </c>
      <c r="N30" s="15" t="str">
        <f t="shared" ca="1" si="2"/>
        <v>Fair Value / Hold</v>
      </c>
      <c r="O30" s="15">
        <f t="shared" ca="1" si="1"/>
        <v>30</v>
      </c>
      <c r="P30" s="18" t="s">
        <v>130</v>
      </c>
    </row>
    <row r="31" spans="1:16" ht="22" customHeight="1" x14ac:dyDescent="0.2">
      <c r="A31" s="11">
        <v>29</v>
      </c>
      <c r="B31" s="12" t="s">
        <v>131</v>
      </c>
      <c r="C31" s="11" t="e" vm="29">
        <v>#VALUE!</v>
      </c>
      <c r="D31" s="11" t="s">
        <v>55</v>
      </c>
      <c r="E31" s="11" t="s">
        <v>71</v>
      </c>
      <c r="F31" s="13" cm="1">
        <f t="array" aca="1" ref="F31" ca="1">_FV(C31,"Price",TRUE)</f>
        <v>293</v>
      </c>
      <c r="G31" s="13">
        <v>147</v>
      </c>
      <c r="H31" s="13">
        <v>206</v>
      </c>
      <c r="I31" s="13">
        <v>265</v>
      </c>
      <c r="J31" s="13">
        <v>310</v>
      </c>
      <c r="K31" s="13">
        <v>206</v>
      </c>
      <c r="L31" s="13">
        <v>265</v>
      </c>
      <c r="M31" s="13">
        <v>330</v>
      </c>
      <c r="N31" s="11" t="str">
        <f t="shared" ca="1" si="2"/>
        <v>Fully Valued / Trim</v>
      </c>
      <c r="O31" s="11">
        <f t="shared" ca="1" si="1"/>
        <v>-9.6</v>
      </c>
      <c r="P31" s="14" t="s">
        <v>132</v>
      </c>
    </row>
    <row r="32" spans="1:16" ht="22" customHeight="1" x14ac:dyDescent="0.2">
      <c r="A32" s="15">
        <v>30</v>
      </c>
      <c r="B32" s="16" t="s">
        <v>133</v>
      </c>
      <c r="C32" s="15" t="e" vm="30">
        <v>#VALUE!</v>
      </c>
      <c r="D32" s="15" t="s">
        <v>55</v>
      </c>
      <c r="E32" s="15" t="s">
        <v>62</v>
      </c>
      <c r="F32" s="13" cm="1">
        <f t="array" aca="1" ref="F32" ca="1">_FV(C32,"Price",TRUE)</f>
        <v>20347</v>
      </c>
      <c r="G32" s="17">
        <v>10500</v>
      </c>
      <c r="H32" s="17">
        <v>14000</v>
      </c>
      <c r="I32" s="17">
        <v>18096</v>
      </c>
      <c r="J32" s="17">
        <v>22000</v>
      </c>
      <c r="K32" s="17">
        <v>10523</v>
      </c>
      <c r="L32" s="17">
        <v>18096</v>
      </c>
      <c r="M32" s="17">
        <v>29287</v>
      </c>
      <c r="N32" s="15" t="str">
        <f t="shared" ca="1" si="2"/>
        <v>Fully Valued / Trim</v>
      </c>
      <c r="O32" s="15">
        <f t="shared" ca="1" si="1"/>
        <v>-11.1</v>
      </c>
      <c r="P32" s="18" t="s">
        <v>134</v>
      </c>
    </row>
    <row r="33" spans="1:16" ht="22" customHeight="1" x14ac:dyDescent="0.2">
      <c r="A33" s="11">
        <v>31</v>
      </c>
      <c r="B33" s="12" t="s">
        <v>135</v>
      </c>
      <c r="C33" s="11" t="e" vm="31">
        <v>#VALUE!</v>
      </c>
      <c r="D33" s="11" t="s">
        <v>55</v>
      </c>
      <c r="E33" s="11" t="s">
        <v>136</v>
      </c>
      <c r="F33" s="13" cm="1">
        <f t="array" aca="1" ref="F33" ca="1">_FV(C33,"Price",TRUE)</f>
        <v>644.79999999999995</v>
      </c>
      <c r="G33" s="13">
        <v>350</v>
      </c>
      <c r="H33" s="13">
        <v>500</v>
      </c>
      <c r="I33" s="13">
        <v>624</v>
      </c>
      <c r="J33" s="13">
        <v>800</v>
      </c>
      <c r="K33" s="13">
        <v>400</v>
      </c>
      <c r="L33" s="13">
        <v>624</v>
      </c>
      <c r="M33" s="13">
        <v>900</v>
      </c>
      <c r="N33" s="11" t="str">
        <f t="shared" ca="1" si="2"/>
        <v>Fully Valued / Trim</v>
      </c>
      <c r="O33" s="11">
        <f t="shared" ca="1" si="1"/>
        <v>-3.2</v>
      </c>
      <c r="P33" s="14" t="s">
        <v>137</v>
      </c>
    </row>
    <row r="34" spans="1:16" ht="22" customHeight="1" x14ac:dyDescent="0.2">
      <c r="A34" s="15">
        <v>32</v>
      </c>
      <c r="B34" s="16" t="s">
        <v>138</v>
      </c>
      <c r="C34" s="15" t="e" vm="32">
        <v>#VALUE!</v>
      </c>
      <c r="D34" s="15" t="s">
        <v>55</v>
      </c>
      <c r="E34" s="15" t="s">
        <v>139</v>
      </c>
      <c r="F34" s="13" cm="1">
        <f t="array" aca="1" ref="F34" ca="1">_FV(C34,"Price",TRUE)</f>
        <v>8095.5</v>
      </c>
      <c r="G34" s="17">
        <v>4500</v>
      </c>
      <c r="H34" s="17">
        <v>5864</v>
      </c>
      <c r="I34" s="17">
        <v>7000</v>
      </c>
      <c r="J34" s="17">
        <v>8000</v>
      </c>
      <c r="K34" s="17">
        <v>5864</v>
      </c>
      <c r="L34" s="17">
        <v>7000</v>
      </c>
      <c r="M34" s="17">
        <v>8500</v>
      </c>
      <c r="N34" s="15" t="str">
        <f t="shared" ca="1" si="2"/>
        <v>Overvalued / Sell</v>
      </c>
      <c r="O34" s="15">
        <f t="shared" ca="1" si="1"/>
        <v>-13.5</v>
      </c>
      <c r="P34" s="18" t="s">
        <v>140</v>
      </c>
    </row>
    <row r="35" spans="1:16" ht="22" customHeight="1" x14ac:dyDescent="0.2">
      <c r="A35" s="11">
        <v>33</v>
      </c>
      <c r="B35" s="12" t="s">
        <v>141</v>
      </c>
      <c r="C35" s="11" t="e" vm="33">
        <v>#VALUE!</v>
      </c>
      <c r="D35" s="11" t="s">
        <v>55</v>
      </c>
      <c r="E35" s="11" t="s">
        <v>74</v>
      </c>
      <c r="F35" s="13" cm="1">
        <f t="array" aca="1" ref="F35" ca="1">_FV(C35,"Price",TRUE)</f>
        <v>784.85</v>
      </c>
      <c r="G35" s="13">
        <v>550</v>
      </c>
      <c r="H35" s="13">
        <v>728</v>
      </c>
      <c r="I35" s="13">
        <v>910</v>
      </c>
      <c r="J35" s="13">
        <v>1050</v>
      </c>
      <c r="K35" s="13">
        <v>728</v>
      </c>
      <c r="L35" s="13">
        <v>910</v>
      </c>
      <c r="M35" s="13">
        <v>1200</v>
      </c>
      <c r="N35" s="11" t="str">
        <f t="shared" ca="1" si="2"/>
        <v>Fair Value / Hold</v>
      </c>
      <c r="O35" s="11">
        <f t="shared" ref="O35:O66" ca="1" si="3">IF(OR(F35="",F35=0),"N/A",ROUND((L35-F35)/F35*100,1))</f>
        <v>15.9</v>
      </c>
      <c r="P35" s="14" t="s">
        <v>142</v>
      </c>
    </row>
    <row r="36" spans="1:16" ht="22" customHeight="1" x14ac:dyDescent="0.2">
      <c r="A36" s="15">
        <v>34</v>
      </c>
      <c r="B36" s="16" t="s">
        <v>143</v>
      </c>
      <c r="C36" s="15" t="e" vm="34">
        <v>#VALUE!</v>
      </c>
      <c r="D36" s="15" t="s">
        <v>55</v>
      </c>
      <c r="E36" s="15" t="s">
        <v>103</v>
      </c>
      <c r="F36" s="13" cm="1">
        <f t="array" aca="1" ref="F36" ca="1">_FV(C36,"Price",TRUE)</f>
        <v>2327.3000000000002</v>
      </c>
      <c r="G36" s="17">
        <v>1150</v>
      </c>
      <c r="H36" s="17">
        <v>1470</v>
      </c>
      <c r="I36" s="17">
        <v>1800</v>
      </c>
      <c r="J36" s="17">
        <v>2100</v>
      </c>
      <c r="K36" s="17">
        <v>1470</v>
      </c>
      <c r="L36" s="17">
        <v>1800</v>
      </c>
      <c r="M36" s="17">
        <v>2200</v>
      </c>
      <c r="N36" s="15" t="str">
        <f t="shared" ca="1" si="2"/>
        <v>Overvalued / Sell</v>
      </c>
      <c r="O36" s="15">
        <f t="shared" ca="1" si="3"/>
        <v>-22.7</v>
      </c>
      <c r="P36" s="18" t="s">
        <v>144</v>
      </c>
    </row>
    <row r="37" spans="1:16" ht="22" customHeight="1" x14ac:dyDescent="0.2">
      <c r="A37" s="11">
        <v>35</v>
      </c>
      <c r="B37" s="12" t="s">
        <v>145</v>
      </c>
      <c r="C37" s="11" t="e" vm="35">
        <v>#VALUE!</v>
      </c>
      <c r="D37" s="11" t="s">
        <v>55</v>
      </c>
      <c r="E37" s="11" t="s">
        <v>146</v>
      </c>
      <c r="F37" s="13" cm="1">
        <f t="array" aca="1" ref="F37" ca="1">_FV(C37,"Price",TRUE)</f>
        <v>1783.6</v>
      </c>
      <c r="G37" s="13">
        <v>1100</v>
      </c>
      <c r="H37" s="13">
        <v>1400</v>
      </c>
      <c r="I37" s="13">
        <v>1902</v>
      </c>
      <c r="J37" s="13">
        <v>2200</v>
      </c>
      <c r="K37" s="13">
        <v>1290</v>
      </c>
      <c r="L37" s="13">
        <v>1902</v>
      </c>
      <c r="M37" s="13">
        <v>2500</v>
      </c>
      <c r="N37" s="11" t="str">
        <f t="shared" ca="1" si="2"/>
        <v>Fair Value / Hold</v>
      </c>
      <c r="O37" s="11">
        <f t="shared" ca="1" si="3"/>
        <v>6.6</v>
      </c>
      <c r="P37" s="14" t="s">
        <v>147</v>
      </c>
    </row>
    <row r="38" spans="1:16" ht="22" customHeight="1" x14ac:dyDescent="0.2">
      <c r="A38" s="15">
        <v>36</v>
      </c>
      <c r="B38" s="16" t="s">
        <v>148</v>
      </c>
      <c r="C38" s="15" t="e" vm="36">
        <v>#VALUE!</v>
      </c>
      <c r="D38" s="15" t="s">
        <v>55</v>
      </c>
      <c r="E38" s="15" t="s">
        <v>139</v>
      </c>
      <c r="F38" s="13" cm="1">
        <f t="array" aca="1" ref="F38" ca="1">_FV(C38,"Price",TRUE)</f>
        <v>1326.2</v>
      </c>
      <c r="G38" s="17">
        <v>900</v>
      </c>
      <c r="H38" s="17">
        <v>1114</v>
      </c>
      <c r="I38" s="17">
        <v>1500</v>
      </c>
      <c r="J38" s="17">
        <v>1936</v>
      </c>
      <c r="K38" s="17">
        <v>1114</v>
      </c>
      <c r="L38" s="17">
        <v>1500</v>
      </c>
      <c r="M38" s="17">
        <v>2234</v>
      </c>
      <c r="N38" s="15" t="str">
        <f t="shared" ca="1" si="2"/>
        <v>Fair Value / Hold</v>
      </c>
      <c r="O38" s="15">
        <f t="shared" ca="1" si="3"/>
        <v>13.1</v>
      </c>
      <c r="P38" s="18" t="s">
        <v>149</v>
      </c>
    </row>
    <row r="39" spans="1:16" ht="22" customHeight="1" x14ac:dyDescent="0.2">
      <c r="A39" s="11">
        <v>37</v>
      </c>
      <c r="B39" s="12" t="s">
        <v>150</v>
      </c>
      <c r="C39" s="11" t="e" vm="37">
        <v>#VALUE!</v>
      </c>
      <c r="D39" s="11" t="s">
        <v>55</v>
      </c>
      <c r="E39" s="11" t="s">
        <v>100</v>
      </c>
      <c r="F39" s="13" cm="1">
        <f t="array" aca="1" ref="F39" ca="1">_FV(C39,"Price",TRUE)</f>
        <v>2107.1</v>
      </c>
      <c r="G39" s="13">
        <v>1500</v>
      </c>
      <c r="H39" s="13">
        <v>2000</v>
      </c>
      <c r="I39" s="13">
        <v>2440</v>
      </c>
      <c r="J39" s="13">
        <v>3010</v>
      </c>
      <c r="K39" s="13">
        <v>2440</v>
      </c>
      <c r="L39" s="13">
        <v>3010</v>
      </c>
      <c r="M39" s="13">
        <v>3500</v>
      </c>
      <c r="N39" s="11" t="str">
        <f t="shared" ca="1" si="2"/>
        <v>Fair Value / Hold</v>
      </c>
      <c r="O39" s="11">
        <f t="shared" ca="1" si="3"/>
        <v>42.9</v>
      </c>
      <c r="P39" s="14" t="s">
        <v>151</v>
      </c>
    </row>
    <row r="40" spans="1:16" ht="22" customHeight="1" x14ac:dyDescent="0.2">
      <c r="A40" s="15">
        <v>38</v>
      </c>
      <c r="B40" s="16" t="s">
        <v>152</v>
      </c>
      <c r="C40" s="15" t="e" vm="38">
        <v>#VALUE!</v>
      </c>
      <c r="D40" s="15" t="s">
        <v>55</v>
      </c>
      <c r="E40" s="15" t="s">
        <v>71</v>
      </c>
      <c r="F40" s="13" cm="1">
        <f t="array" aca="1" ref="F40" ca="1">_FV(C40,"Price",TRUE)</f>
        <v>909.9</v>
      </c>
      <c r="G40" s="17">
        <v>500</v>
      </c>
      <c r="H40" s="17">
        <v>770</v>
      </c>
      <c r="I40" s="17">
        <v>900</v>
      </c>
      <c r="J40" s="17">
        <v>1100</v>
      </c>
      <c r="K40" s="17">
        <v>770</v>
      </c>
      <c r="L40" s="17">
        <v>900</v>
      </c>
      <c r="M40" s="17">
        <v>1500</v>
      </c>
      <c r="N40" s="15" t="str">
        <f t="shared" ca="1" si="2"/>
        <v>Fully Valued / Trim</v>
      </c>
      <c r="O40" s="15">
        <f t="shared" ca="1" si="3"/>
        <v>-1.1000000000000001</v>
      </c>
      <c r="P40" s="18" t="s">
        <v>153</v>
      </c>
    </row>
    <row r="41" spans="1:16" ht="22" customHeight="1" x14ac:dyDescent="0.2">
      <c r="A41" s="11">
        <v>39</v>
      </c>
      <c r="B41" s="12" t="s">
        <v>154</v>
      </c>
      <c r="C41" s="11" t="e" vm="39">
        <v>#VALUE!</v>
      </c>
      <c r="D41" s="11" t="s">
        <v>55</v>
      </c>
      <c r="E41" s="11" t="s">
        <v>155</v>
      </c>
      <c r="F41" s="13" cm="1">
        <f t="array" aca="1" ref="F41" ca="1">_FV(C41,"Price",TRUE)</f>
        <v>402.2</v>
      </c>
      <c r="G41" s="13">
        <v>240</v>
      </c>
      <c r="H41" s="13">
        <v>360</v>
      </c>
      <c r="I41" s="13">
        <v>480</v>
      </c>
      <c r="J41" s="13">
        <v>611</v>
      </c>
      <c r="K41" s="13">
        <v>360</v>
      </c>
      <c r="L41" s="13">
        <v>611</v>
      </c>
      <c r="M41" s="13">
        <v>800</v>
      </c>
      <c r="N41" s="11" t="str">
        <f t="shared" ca="1" si="2"/>
        <v>Fair Value / Hold</v>
      </c>
      <c r="O41" s="11">
        <f t="shared" ca="1" si="3"/>
        <v>51.9</v>
      </c>
      <c r="P41" s="14" t="s">
        <v>156</v>
      </c>
    </row>
    <row r="42" spans="1:16" ht="22" customHeight="1" x14ac:dyDescent="0.2">
      <c r="A42" s="15">
        <v>40</v>
      </c>
      <c r="B42" s="16" t="s">
        <v>157</v>
      </c>
      <c r="C42" s="15" t="e" vm="40">
        <v>#VALUE!</v>
      </c>
      <c r="D42" s="15" t="s">
        <v>55</v>
      </c>
      <c r="E42" s="15" t="s">
        <v>158</v>
      </c>
      <c r="F42" s="13" cm="1">
        <f t="array" aca="1" ref="F42" ca="1">_FV(C42,"Price",TRUE)</f>
        <v>984.95</v>
      </c>
      <c r="G42" s="17">
        <v>700</v>
      </c>
      <c r="H42" s="17">
        <v>900</v>
      </c>
      <c r="I42" s="17">
        <v>1043</v>
      </c>
      <c r="J42" s="17">
        <v>1193</v>
      </c>
      <c r="K42" s="17">
        <v>943</v>
      </c>
      <c r="L42" s="17">
        <v>1043</v>
      </c>
      <c r="M42" s="17">
        <v>1193</v>
      </c>
      <c r="N42" s="15" t="str">
        <f t="shared" ca="1" si="2"/>
        <v>Fair Value / Hold</v>
      </c>
      <c r="O42" s="15">
        <f t="shared" ca="1" si="3"/>
        <v>5.9</v>
      </c>
      <c r="P42" s="18" t="s">
        <v>159</v>
      </c>
    </row>
    <row r="43" spans="1:16" ht="22" customHeight="1" x14ac:dyDescent="0.2">
      <c r="A43" s="11">
        <v>41</v>
      </c>
      <c r="B43" s="12" t="s">
        <v>160</v>
      </c>
      <c r="C43" s="11" t="e" vm="41">
        <v>#VALUE!</v>
      </c>
      <c r="D43" s="11" t="s">
        <v>55</v>
      </c>
      <c r="E43" s="11" t="s">
        <v>71</v>
      </c>
      <c r="F43" s="13" cm="1">
        <f t="array" aca="1" ref="F43" ca="1">_FV(C43,"Price",TRUE)</f>
        <v>1154.5999999999999</v>
      </c>
      <c r="G43" s="13">
        <v>1026</v>
      </c>
      <c r="H43" s="13">
        <v>1256</v>
      </c>
      <c r="I43" s="13">
        <v>1500</v>
      </c>
      <c r="J43" s="13">
        <v>1729</v>
      </c>
      <c r="K43" s="13">
        <v>1026</v>
      </c>
      <c r="L43" s="13">
        <v>1729</v>
      </c>
      <c r="M43" s="13">
        <v>2000</v>
      </c>
      <c r="N43" s="11" t="str">
        <f t="shared" ca="1" si="2"/>
        <v>Value / Buy</v>
      </c>
      <c r="O43" s="11">
        <f t="shared" ca="1" si="3"/>
        <v>49.7</v>
      </c>
      <c r="P43" s="14" t="s">
        <v>161</v>
      </c>
    </row>
    <row r="44" spans="1:16" ht="22" customHeight="1" x14ac:dyDescent="0.2">
      <c r="A44" s="15">
        <v>42</v>
      </c>
      <c r="B44" s="16" t="s">
        <v>162</v>
      </c>
      <c r="C44" s="15" t="e" vm="42">
        <v>#VALUE!</v>
      </c>
      <c r="D44" s="15" t="s">
        <v>55</v>
      </c>
      <c r="E44" s="15" t="s">
        <v>163</v>
      </c>
      <c r="F44" s="13" cm="1">
        <f t="array" aca="1" ref="F44" ca="1">_FV(C44,"Price",TRUE)</f>
        <v>76.8</v>
      </c>
      <c r="G44" s="17">
        <v>40</v>
      </c>
      <c r="H44" s="17">
        <v>55</v>
      </c>
      <c r="I44" s="17">
        <v>72</v>
      </c>
      <c r="J44" s="17">
        <v>92</v>
      </c>
      <c r="K44" s="17">
        <v>55</v>
      </c>
      <c r="L44" s="17">
        <v>88</v>
      </c>
      <c r="M44" s="17">
        <v>120</v>
      </c>
      <c r="N44" s="15" t="str">
        <f t="shared" ca="1" si="2"/>
        <v>Fully Valued / Trim</v>
      </c>
      <c r="O44" s="15">
        <f t="shared" ca="1" si="3"/>
        <v>14.6</v>
      </c>
      <c r="P44" s="18" t="s">
        <v>164</v>
      </c>
    </row>
    <row r="45" spans="1:16" ht="22" customHeight="1" x14ac:dyDescent="0.2">
      <c r="A45" s="11">
        <v>43</v>
      </c>
      <c r="B45" s="12" t="s">
        <v>165</v>
      </c>
      <c r="C45" s="11" t="e" vm="43">
        <v>#VALUE!</v>
      </c>
      <c r="D45" s="11" t="s">
        <v>55</v>
      </c>
      <c r="E45" s="11" t="s">
        <v>139</v>
      </c>
      <c r="F45" s="13" cm="1">
        <f t="array" aca="1" ref="F45" ca="1">_FV(C45,"Price",TRUE)</f>
        <v>541.20000000000005</v>
      </c>
      <c r="G45" s="13">
        <v>300</v>
      </c>
      <c r="H45" s="13">
        <v>400</v>
      </c>
      <c r="I45" s="13">
        <v>450</v>
      </c>
      <c r="J45" s="13">
        <v>565</v>
      </c>
      <c r="K45" s="13">
        <v>356</v>
      </c>
      <c r="L45" s="13">
        <v>445</v>
      </c>
      <c r="M45" s="13">
        <v>600</v>
      </c>
      <c r="N45" s="11" t="str">
        <f t="shared" ca="1" si="2"/>
        <v>Fully Valued / Trim</v>
      </c>
      <c r="O45" s="11">
        <f t="shared" ca="1" si="3"/>
        <v>-17.8</v>
      </c>
      <c r="P45" s="14" t="s">
        <v>166</v>
      </c>
    </row>
    <row r="46" spans="1:16" ht="22" customHeight="1" x14ac:dyDescent="0.2">
      <c r="A46" s="15">
        <v>44</v>
      </c>
      <c r="B46" s="16" t="s">
        <v>167</v>
      </c>
      <c r="C46" s="15" t="e" vm="44">
        <v>#VALUE!</v>
      </c>
      <c r="D46" s="15" t="s">
        <v>55</v>
      </c>
      <c r="E46" s="15" t="s">
        <v>74</v>
      </c>
      <c r="F46" s="13" cm="1">
        <f t="array" aca="1" ref="F46" ca="1">_FV(C46,"Price",TRUE)</f>
        <v>301.60000000000002</v>
      </c>
      <c r="G46" s="17">
        <v>220</v>
      </c>
      <c r="H46" s="17">
        <v>270</v>
      </c>
      <c r="I46" s="17">
        <v>320</v>
      </c>
      <c r="J46" s="17">
        <v>386</v>
      </c>
      <c r="K46" s="17">
        <v>270</v>
      </c>
      <c r="L46" s="17">
        <v>386</v>
      </c>
      <c r="M46" s="17">
        <v>450</v>
      </c>
      <c r="N46" s="15" t="str">
        <f t="shared" ca="1" si="2"/>
        <v>Fair Value / Hold</v>
      </c>
      <c r="O46" s="15">
        <f t="shared" ca="1" si="3"/>
        <v>28</v>
      </c>
      <c r="P46" s="18" t="s">
        <v>168</v>
      </c>
    </row>
    <row r="47" spans="1:16" ht="22" customHeight="1" x14ac:dyDescent="0.2">
      <c r="A47" s="11">
        <v>45</v>
      </c>
      <c r="B47" s="12" t="s">
        <v>169</v>
      </c>
      <c r="C47" s="11" t="e" vm="45">
        <v>#VALUE!</v>
      </c>
      <c r="D47" s="11" t="s">
        <v>55</v>
      </c>
      <c r="E47" s="11" t="s">
        <v>170</v>
      </c>
      <c r="F47" s="13" cm="1">
        <f t="array" aca="1" ref="F47" ca="1">_FV(C47,"Price",TRUE)</f>
        <v>371.7</v>
      </c>
      <c r="G47" s="13">
        <v>226</v>
      </c>
      <c r="H47" s="13">
        <v>291</v>
      </c>
      <c r="I47" s="13">
        <v>388</v>
      </c>
      <c r="J47" s="13">
        <v>517</v>
      </c>
      <c r="K47" s="13">
        <v>307</v>
      </c>
      <c r="L47" s="13">
        <v>430</v>
      </c>
      <c r="M47" s="13">
        <v>556</v>
      </c>
      <c r="N47" s="11" t="str">
        <f t="shared" ca="1" si="2"/>
        <v>Fair Value / Hold</v>
      </c>
      <c r="O47" s="11">
        <f t="shared" ca="1" si="3"/>
        <v>15.7</v>
      </c>
      <c r="P47" s="14" t="s">
        <v>171</v>
      </c>
    </row>
    <row r="48" spans="1:16" ht="22" customHeight="1" x14ac:dyDescent="0.2">
      <c r="A48" s="15">
        <v>46</v>
      </c>
      <c r="B48" s="16" t="s">
        <v>172</v>
      </c>
      <c r="C48" s="15" t="e" vm="46">
        <v>#VALUE!</v>
      </c>
      <c r="D48" s="15" t="s">
        <v>55</v>
      </c>
      <c r="E48" s="15" t="s">
        <v>146</v>
      </c>
      <c r="F48" s="13" cm="1">
        <f t="array" aca="1" ref="F48" ca="1">_FV(C48,"Price",TRUE)</f>
        <v>405.3</v>
      </c>
      <c r="G48" s="17">
        <v>210</v>
      </c>
      <c r="H48" s="17">
        <v>330</v>
      </c>
      <c r="I48" s="17">
        <v>440</v>
      </c>
      <c r="J48" s="17">
        <v>600</v>
      </c>
      <c r="K48" s="17">
        <v>210</v>
      </c>
      <c r="L48" s="17">
        <v>380</v>
      </c>
      <c r="M48" s="17">
        <v>600</v>
      </c>
      <c r="N48" s="15" t="str">
        <f t="shared" ca="1" si="2"/>
        <v>Fair Value / Hold</v>
      </c>
      <c r="O48" s="15">
        <f t="shared" ca="1" si="3"/>
        <v>-6.2</v>
      </c>
      <c r="P48" s="18" t="s">
        <v>173</v>
      </c>
    </row>
    <row r="49" spans="1:16" ht="22" customHeight="1" x14ac:dyDescent="0.2">
      <c r="A49" s="11">
        <v>47</v>
      </c>
      <c r="B49" s="12" t="s">
        <v>174</v>
      </c>
      <c r="C49" s="11" t="e" vm="47">
        <v>#VALUE!</v>
      </c>
      <c r="D49" s="11" t="s">
        <v>55</v>
      </c>
      <c r="E49" s="11" t="s">
        <v>175</v>
      </c>
      <c r="F49" s="13" cm="1">
        <f t="array" aca="1" ref="F49" ca="1">_FV(C49,"Price",TRUE)</f>
        <v>21.84</v>
      </c>
      <c r="G49" s="13">
        <v>16.8</v>
      </c>
      <c r="H49" s="13">
        <v>25.8</v>
      </c>
      <c r="I49" s="13">
        <v>38.700000000000003</v>
      </c>
      <c r="J49" s="13">
        <v>51.6</v>
      </c>
      <c r="K49" s="13">
        <v>24.1</v>
      </c>
      <c r="L49" s="13">
        <v>31.7</v>
      </c>
      <c r="M49" s="13">
        <v>41.3</v>
      </c>
      <c r="N49" s="11" t="str">
        <f t="shared" ca="1" si="2"/>
        <v>Value / Buy</v>
      </c>
      <c r="O49" s="11">
        <f t="shared" ca="1" si="3"/>
        <v>45.1</v>
      </c>
      <c r="P49" s="14" t="s">
        <v>176</v>
      </c>
    </row>
    <row r="50" spans="1:16" ht="22" customHeight="1" x14ac:dyDescent="0.2">
      <c r="A50" s="15">
        <v>48</v>
      </c>
      <c r="B50" s="16" t="s">
        <v>177</v>
      </c>
      <c r="C50" s="15" t="e" vm="48">
        <v>#VALUE!</v>
      </c>
      <c r="D50" s="15" t="s">
        <v>55</v>
      </c>
      <c r="E50" s="15" t="s">
        <v>139</v>
      </c>
      <c r="F50" s="13" cm="1">
        <f t="array" aca="1" ref="F50" ca="1">_FV(C50,"Price",TRUE)</f>
        <v>295.45</v>
      </c>
      <c r="G50" s="17">
        <v>158</v>
      </c>
      <c r="H50" s="17">
        <v>224</v>
      </c>
      <c r="I50" s="17">
        <v>304</v>
      </c>
      <c r="J50" s="17">
        <v>396</v>
      </c>
      <c r="K50" s="17">
        <v>198</v>
      </c>
      <c r="L50" s="17">
        <v>293</v>
      </c>
      <c r="M50" s="17">
        <v>387</v>
      </c>
      <c r="N50" s="15" t="str">
        <f t="shared" ca="1" si="2"/>
        <v>Fair Value / Hold</v>
      </c>
      <c r="O50" s="15">
        <f t="shared" ca="1" si="3"/>
        <v>-0.8</v>
      </c>
      <c r="P50" s="18" t="s">
        <v>178</v>
      </c>
    </row>
    <row r="51" spans="1:16" ht="22" customHeight="1" x14ac:dyDescent="0.2">
      <c r="A51" s="11">
        <v>49</v>
      </c>
      <c r="B51" s="12" t="s">
        <v>179</v>
      </c>
      <c r="C51" s="11" t="e" vm="49">
        <v>#VALUE!</v>
      </c>
      <c r="D51" s="11" t="s">
        <v>55</v>
      </c>
      <c r="E51" s="11" t="s">
        <v>155</v>
      </c>
      <c r="F51" s="13" cm="1">
        <f t="array" aca="1" ref="F51" ca="1">_FV(C51,"Price",TRUE)</f>
        <v>370.85</v>
      </c>
      <c r="G51" s="13">
        <v>200</v>
      </c>
      <c r="H51" s="13">
        <v>316</v>
      </c>
      <c r="I51" s="13">
        <v>375</v>
      </c>
      <c r="J51" s="13">
        <v>475</v>
      </c>
      <c r="K51" s="13">
        <v>316</v>
      </c>
      <c r="L51" s="13">
        <v>375</v>
      </c>
      <c r="M51" s="13">
        <v>500</v>
      </c>
      <c r="N51" s="11" t="str">
        <f t="shared" ca="1" si="2"/>
        <v>Fair Value / Hold</v>
      </c>
      <c r="O51" s="11">
        <f t="shared" ca="1" si="3"/>
        <v>1.1000000000000001</v>
      </c>
      <c r="P51" s="14" t="s">
        <v>180</v>
      </c>
    </row>
    <row r="52" spans="1:16" ht="22" customHeight="1" x14ac:dyDescent="0.2">
      <c r="A52" s="15">
        <v>50</v>
      </c>
      <c r="B52" s="16" t="s">
        <v>181</v>
      </c>
      <c r="C52" s="15" t="e" vm="50">
        <v>#VALUE!</v>
      </c>
      <c r="D52" s="15" t="s">
        <v>55</v>
      </c>
      <c r="E52" s="15" t="s">
        <v>74</v>
      </c>
      <c r="F52" s="13" cm="1">
        <f t="array" aca="1" ref="F52" ca="1">_FV(C52,"Price",TRUE)</f>
        <v>709.6</v>
      </c>
      <c r="G52" s="17">
        <v>420</v>
      </c>
      <c r="H52" s="17">
        <v>620</v>
      </c>
      <c r="I52" s="17">
        <v>840</v>
      </c>
      <c r="J52" s="17">
        <v>1000</v>
      </c>
      <c r="K52" s="17">
        <v>500</v>
      </c>
      <c r="L52" s="17">
        <v>820</v>
      </c>
      <c r="M52" s="17">
        <v>1200</v>
      </c>
      <c r="N52" s="15" t="str">
        <f t="shared" ca="1" si="2"/>
        <v>Fair Value / Hold</v>
      </c>
      <c r="O52" s="15">
        <f t="shared" ca="1" si="3"/>
        <v>15.6</v>
      </c>
      <c r="P52" s="18" t="s">
        <v>182</v>
      </c>
    </row>
    <row r="53" spans="1:16" ht="22" customHeight="1" x14ac:dyDescent="0.2">
      <c r="A53" s="11">
        <v>51</v>
      </c>
      <c r="B53" s="12" t="s">
        <v>183</v>
      </c>
      <c r="C53" s="11" t="e" vm="51">
        <v>#VALUE!</v>
      </c>
      <c r="D53" s="11" t="s">
        <v>55</v>
      </c>
      <c r="E53" s="11" t="s">
        <v>52</v>
      </c>
      <c r="F53" s="13" cm="1">
        <f t="array" aca="1" ref="F53" ca="1">_FV(C53,"Price",TRUE)</f>
        <v>204</v>
      </c>
      <c r="G53" s="13">
        <v>132</v>
      </c>
      <c r="H53" s="13">
        <v>198</v>
      </c>
      <c r="I53" s="13">
        <v>275</v>
      </c>
      <c r="J53" s="13">
        <v>385</v>
      </c>
      <c r="K53" s="13">
        <v>224</v>
      </c>
      <c r="L53" s="13">
        <v>300</v>
      </c>
      <c r="M53" s="13">
        <v>366</v>
      </c>
      <c r="N53" s="11" t="str">
        <f t="shared" ca="1" si="2"/>
        <v>Fair Value / Hold</v>
      </c>
      <c r="O53" s="11">
        <f t="shared" ca="1" si="3"/>
        <v>47.1</v>
      </c>
      <c r="P53" s="14" t="s">
        <v>184</v>
      </c>
    </row>
    <row r="54" spans="1:16" ht="22" customHeight="1" x14ac:dyDescent="0.2">
      <c r="A54" s="15">
        <v>52</v>
      </c>
      <c r="B54" s="16" t="s">
        <v>185</v>
      </c>
      <c r="C54" s="15" t="e" vm="52">
        <v>#VALUE!</v>
      </c>
      <c r="D54" s="15" t="s">
        <v>55</v>
      </c>
      <c r="E54" s="15" t="s">
        <v>77</v>
      </c>
      <c r="F54" s="13" cm="1">
        <f t="array" aca="1" ref="F54" ca="1">_FV(C54,"Price",TRUE)</f>
        <v>175.81</v>
      </c>
      <c r="G54" s="17">
        <v>112</v>
      </c>
      <c r="H54" s="17">
        <v>186</v>
      </c>
      <c r="I54" s="17">
        <v>298</v>
      </c>
      <c r="J54" s="17">
        <v>330</v>
      </c>
      <c r="K54" s="17">
        <v>251</v>
      </c>
      <c r="L54" s="17">
        <v>440</v>
      </c>
      <c r="M54" s="17">
        <v>600</v>
      </c>
      <c r="N54" s="15" t="str">
        <f t="shared" ca="1" si="2"/>
        <v>Value / Buy</v>
      </c>
      <c r="O54" s="15">
        <f t="shared" ca="1" si="3"/>
        <v>150.30000000000001</v>
      </c>
      <c r="P54" s="18" t="s">
        <v>186</v>
      </c>
    </row>
    <row r="55" spans="1:16" ht="22" customHeight="1" x14ac:dyDescent="0.2">
      <c r="A55" s="11">
        <v>53</v>
      </c>
      <c r="B55" s="12" t="s">
        <v>187</v>
      </c>
      <c r="C55" s="11" t="e" vm="53">
        <v>#VALUE!</v>
      </c>
      <c r="D55" s="11" t="s">
        <v>55</v>
      </c>
      <c r="E55" s="11" t="s">
        <v>56</v>
      </c>
      <c r="F55" s="13" cm="1">
        <f t="array" aca="1" ref="F55" ca="1">_FV(C55,"Price",TRUE)</f>
        <v>642.35</v>
      </c>
      <c r="G55" s="13">
        <v>392</v>
      </c>
      <c r="H55" s="13">
        <v>539</v>
      </c>
      <c r="I55" s="13">
        <v>735</v>
      </c>
      <c r="J55" s="13">
        <v>980</v>
      </c>
      <c r="K55" s="13">
        <v>895</v>
      </c>
      <c r="L55" s="13">
        <v>1335</v>
      </c>
      <c r="M55" s="13">
        <v>2043</v>
      </c>
      <c r="N55" s="11" t="str">
        <f t="shared" ca="1" si="2"/>
        <v>Fair Value / Hold</v>
      </c>
      <c r="O55" s="11">
        <f t="shared" ca="1" si="3"/>
        <v>107.8</v>
      </c>
      <c r="P55" s="14" t="s">
        <v>188</v>
      </c>
    </row>
    <row r="56" spans="1:16" ht="22" customHeight="1" x14ac:dyDescent="0.2">
      <c r="A56" s="15">
        <v>54</v>
      </c>
      <c r="B56" s="16" t="s">
        <v>189</v>
      </c>
      <c r="C56" s="15" t="e" vm="54">
        <v>#VALUE!</v>
      </c>
      <c r="D56" s="15" t="s">
        <v>55</v>
      </c>
      <c r="E56" s="15" t="s">
        <v>190</v>
      </c>
      <c r="F56" s="13" cm="1">
        <f t="array" aca="1" ref="F56" ca="1">_FV(C56,"Price",TRUE)</f>
        <v>3038.4</v>
      </c>
      <c r="G56" s="17">
        <v>1750</v>
      </c>
      <c r="H56" s="17">
        <v>2250</v>
      </c>
      <c r="I56" s="17">
        <v>3125</v>
      </c>
      <c r="J56" s="17">
        <v>4000</v>
      </c>
      <c r="K56" s="17">
        <v>2988</v>
      </c>
      <c r="L56" s="17">
        <v>3951</v>
      </c>
      <c r="M56" s="17">
        <v>5159</v>
      </c>
      <c r="N56" s="15" t="str">
        <f t="shared" ca="1" si="2"/>
        <v>Fair Value / Hold</v>
      </c>
      <c r="O56" s="15">
        <f t="shared" ca="1" si="3"/>
        <v>30</v>
      </c>
      <c r="P56" s="18" t="s">
        <v>191</v>
      </c>
    </row>
    <row r="57" spans="1:16" ht="22" customHeight="1" x14ac:dyDescent="0.2">
      <c r="A57" s="11">
        <v>55</v>
      </c>
      <c r="B57" s="12" t="s">
        <v>192</v>
      </c>
      <c r="C57" s="11" t="e" vm="55">
        <v>#VALUE!</v>
      </c>
      <c r="D57" s="11" t="s">
        <v>55</v>
      </c>
      <c r="E57" s="11" t="s">
        <v>155</v>
      </c>
      <c r="F57" s="13" cm="1">
        <f t="array" aca="1" ref="F57" ca="1">_FV(C57,"Price",TRUE)</f>
        <v>13048</v>
      </c>
      <c r="G57" s="13">
        <v>8300</v>
      </c>
      <c r="H57" s="13">
        <v>11000</v>
      </c>
      <c r="I57" s="13">
        <v>11490</v>
      </c>
      <c r="J57" s="13">
        <v>12757</v>
      </c>
      <c r="K57" s="13">
        <v>8532</v>
      </c>
      <c r="L57" s="13">
        <v>11490</v>
      </c>
      <c r="M57" s="13">
        <v>17793</v>
      </c>
      <c r="N57" s="11" t="str">
        <f t="shared" ca="1" si="2"/>
        <v>Overvalued / Sell</v>
      </c>
      <c r="O57" s="11">
        <f t="shared" ca="1" si="3"/>
        <v>-11.9</v>
      </c>
      <c r="P57" s="14" t="s">
        <v>193</v>
      </c>
    </row>
    <row r="58" spans="1:16" ht="22" customHeight="1" x14ac:dyDescent="0.2">
      <c r="A58" s="15">
        <v>56</v>
      </c>
      <c r="B58" s="16" t="s">
        <v>194</v>
      </c>
      <c r="C58" s="15" t="e" vm="56">
        <v>#VALUE!</v>
      </c>
      <c r="D58" s="15" t="s">
        <v>55</v>
      </c>
      <c r="E58" s="15" t="s">
        <v>195</v>
      </c>
      <c r="F58" s="13" cm="1">
        <f t="array" aca="1" ref="F58" ca="1">_FV(C58,"Price",TRUE)</f>
        <v>132145</v>
      </c>
      <c r="G58" s="17">
        <v>82500</v>
      </c>
      <c r="H58" s="17">
        <v>100850</v>
      </c>
      <c r="I58" s="17">
        <v>128350</v>
      </c>
      <c r="J58" s="17">
        <v>160440</v>
      </c>
      <c r="K58" s="17">
        <v>90600</v>
      </c>
      <c r="L58" s="17">
        <v>130400</v>
      </c>
      <c r="M58" s="17">
        <v>201200</v>
      </c>
      <c r="N58" s="15" t="str">
        <f t="shared" ca="1" si="2"/>
        <v>Fully Valued / Trim</v>
      </c>
      <c r="O58" s="15">
        <f t="shared" ca="1" si="3"/>
        <v>-1.3</v>
      </c>
      <c r="P58" s="18" t="s">
        <v>196</v>
      </c>
    </row>
    <row r="59" spans="1:16" ht="22" customHeight="1" x14ac:dyDescent="0.2">
      <c r="A59" s="11">
        <v>57</v>
      </c>
      <c r="B59" s="12" t="s">
        <v>197</v>
      </c>
      <c r="C59" s="11" t="e" vm="57">
        <v>#VALUE!</v>
      </c>
      <c r="D59" s="11" t="s">
        <v>55</v>
      </c>
      <c r="E59" s="11" t="s">
        <v>158</v>
      </c>
      <c r="F59" s="13" cm="1">
        <f t="array" aca="1" ref="F59" ca="1">_FV(C59,"Price",TRUE)</f>
        <v>1421.3</v>
      </c>
      <c r="G59" s="13">
        <v>688</v>
      </c>
      <c r="H59" s="13">
        <v>946</v>
      </c>
      <c r="I59" s="13">
        <v>1204</v>
      </c>
      <c r="J59" s="13">
        <v>1462</v>
      </c>
      <c r="K59" s="13">
        <v>408</v>
      </c>
      <c r="L59" s="13">
        <v>602</v>
      </c>
      <c r="M59" s="13">
        <v>792</v>
      </c>
      <c r="N59" s="11" t="str">
        <f t="shared" ca="1" si="2"/>
        <v>Fully Valued / Trim</v>
      </c>
      <c r="O59" s="11">
        <f t="shared" ca="1" si="3"/>
        <v>-57.6</v>
      </c>
      <c r="P59" s="14" t="s">
        <v>198</v>
      </c>
    </row>
    <row r="60" spans="1:16" ht="22" customHeight="1" x14ac:dyDescent="0.2">
      <c r="A60" s="15">
        <v>58</v>
      </c>
      <c r="B60" s="16" t="s">
        <v>199</v>
      </c>
      <c r="C60" s="15" t="e" vm="58">
        <v>#VALUE!</v>
      </c>
      <c r="D60" s="15" t="s">
        <v>55</v>
      </c>
      <c r="E60" s="15" t="s">
        <v>85</v>
      </c>
      <c r="F60" s="13" cm="1">
        <f t="array" aca="1" ref="F60" ca="1">_FV(C60,"Price",TRUE)</f>
        <v>1202.8</v>
      </c>
      <c r="G60" s="17">
        <v>275</v>
      </c>
      <c r="H60" s="17">
        <v>480</v>
      </c>
      <c r="I60" s="17">
        <v>685</v>
      </c>
      <c r="J60" s="17">
        <v>960</v>
      </c>
      <c r="K60" s="17">
        <v>526</v>
      </c>
      <c r="L60" s="17">
        <v>972</v>
      </c>
      <c r="M60" s="17">
        <v>1599</v>
      </c>
      <c r="N60" s="15" t="str">
        <f t="shared" ca="1" si="2"/>
        <v>Overvalued / Sell</v>
      </c>
      <c r="O60" s="15">
        <f t="shared" ca="1" si="3"/>
        <v>-19.2</v>
      </c>
      <c r="P60" s="18" t="s">
        <v>200</v>
      </c>
    </row>
    <row r="61" spans="1:16" ht="22" customHeight="1" x14ac:dyDescent="0.2">
      <c r="A61" s="11">
        <v>59</v>
      </c>
      <c r="B61" s="12" t="s">
        <v>201</v>
      </c>
      <c r="C61" s="11" t="e" vm="59">
        <v>#VALUE!</v>
      </c>
      <c r="D61" s="11" t="s">
        <v>55</v>
      </c>
      <c r="E61" s="11" t="s">
        <v>202</v>
      </c>
      <c r="F61" s="13" cm="1">
        <f t="array" aca="1" ref="F61" ca="1">_FV(C61,"Price",TRUE)</f>
        <v>9.35</v>
      </c>
      <c r="G61" s="13">
        <v>5</v>
      </c>
      <c r="H61" s="13">
        <v>7</v>
      </c>
      <c r="I61" s="13">
        <v>10</v>
      </c>
      <c r="J61" s="13">
        <v>15</v>
      </c>
      <c r="K61" s="13">
        <v>3.7</v>
      </c>
      <c r="L61" s="13">
        <v>10</v>
      </c>
      <c r="M61" s="13">
        <v>19.3</v>
      </c>
      <c r="N61" s="11" t="str">
        <f t="shared" ca="1" si="2"/>
        <v>Fair Value / Hold</v>
      </c>
      <c r="O61" s="11">
        <f t="shared" ca="1" si="3"/>
        <v>7</v>
      </c>
      <c r="P61" s="14" t="s">
        <v>203</v>
      </c>
    </row>
    <row r="62" spans="1:16" ht="22" customHeight="1" x14ac:dyDescent="0.2">
      <c r="A62" s="15">
        <v>60</v>
      </c>
      <c r="B62" s="16" t="s">
        <v>204</v>
      </c>
      <c r="C62" s="15" t="e" vm="60">
        <v>#VALUE!</v>
      </c>
      <c r="D62" s="15" t="s">
        <v>55</v>
      </c>
      <c r="E62" s="15" t="s">
        <v>77</v>
      </c>
      <c r="F62" s="13" cm="1">
        <f t="array" aca="1" ref="F62" ca="1">_FV(C62,"Price",TRUE)</f>
        <v>10300</v>
      </c>
      <c r="G62" s="17">
        <v>6375</v>
      </c>
      <c r="H62" s="17">
        <v>8160</v>
      </c>
      <c r="I62" s="17">
        <v>10710</v>
      </c>
      <c r="J62" s="17">
        <v>14025</v>
      </c>
      <c r="K62" s="17">
        <v>5651</v>
      </c>
      <c r="L62" s="17">
        <v>8315</v>
      </c>
      <c r="M62" s="17">
        <v>11576</v>
      </c>
      <c r="N62" s="15" t="str">
        <f t="shared" ca="1" si="2"/>
        <v>Fair Value / Hold</v>
      </c>
      <c r="O62" s="15">
        <f t="shared" ca="1" si="3"/>
        <v>-19.3</v>
      </c>
      <c r="P62" s="18" t="s">
        <v>205</v>
      </c>
    </row>
    <row r="63" spans="1:16" ht="22" customHeight="1" x14ac:dyDescent="0.2">
      <c r="A63" s="11">
        <v>61</v>
      </c>
      <c r="B63" s="12" t="s">
        <v>206</v>
      </c>
      <c r="C63" s="11" t="e" vm="61">
        <v>#VALUE!</v>
      </c>
      <c r="D63" s="11" t="s">
        <v>55</v>
      </c>
      <c r="E63" s="11" t="s">
        <v>207</v>
      </c>
      <c r="F63" s="13" cm="1">
        <f t="array" aca="1" ref="F63" ca="1">_FV(C63,"Price",TRUE)</f>
        <v>183.65</v>
      </c>
      <c r="G63" s="13">
        <v>89</v>
      </c>
      <c r="H63" s="13">
        <v>118</v>
      </c>
      <c r="I63" s="13">
        <v>167</v>
      </c>
      <c r="J63" s="13">
        <v>207</v>
      </c>
      <c r="K63" s="13">
        <v>107</v>
      </c>
      <c r="L63" s="13">
        <v>157</v>
      </c>
      <c r="M63" s="13">
        <v>251</v>
      </c>
      <c r="N63" s="11" t="s">
        <v>116</v>
      </c>
      <c r="O63" s="11">
        <f t="shared" ca="1" si="3"/>
        <v>-14.5</v>
      </c>
      <c r="P63" s="14" t="s">
        <v>208</v>
      </c>
    </row>
    <row r="64" spans="1:16" ht="22" customHeight="1" x14ac:dyDescent="0.2">
      <c r="A64" s="15">
        <v>62</v>
      </c>
      <c r="B64" s="16" t="s">
        <v>209</v>
      </c>
      <c r="C64" s="15" t="e" vm="62">
        <v>#VALUE!</v>
      </c>
      <c r="D64" s="15" t="s">
        <v>55</v>
      </c>
      <c r="E64" s="15" t="s">
        <v>85</v>
      </c>
      <c r="F64" s="13" cm="1">
        <f t="array" aca="1" ref="F64" ca="1">_FV(C64,"Price",TRUE)</f>
        <v>1327.8</v>
      </c>
      <c r="G64" s="17">
        <v>600</v>
      </c>
      <c r="H64" s="17">
        <v>800</v>
      </c>
      <c r="I64" s="17">
        <v>1050</v>
      </c>
      <c r="J64" s="17">
        <v>1350</v>
      </c>
      <c r="K64" s="17">
        <v>1074</v>
      </c>
      <c r="L64" s="17">
        <v>1533</v>
      </c>
      <c r="M64" s="17">
        <v>2368</v>
      </c>
      <c r="N64" s="15" t="str">
        <f t="shared" ref="N64:N70" ca="1" si="4">IF(F64="","Enter Price",IF(F64&lt;=G64,"Deep Value / Strong Buy",IF(F64&lt;=H64,"Value / Buy",IF(F64&lt;=I64,"Fair Value / Hold",IF(F64&lt;=J64,"Fully Valued / Trim","Overvalued / Sell")))))</f>
        <v>Fully Valued / Trim</v>
      </c>
      <c r="O64" s="15">
        <f t="shared" ca="1" si="3"/>
        <v>15.5</v>
      </c>
      <c r="P64" s="18" t="s">
        <v>210</v>
      </c>
    </row>
    <row r="65" spans="1:16" ht="22" customHeight="1" x14ac:dyDescent="0.2">
      <c r="A65" s="11">
        <v>63</v>
      </c>
      <c r="B65" s="12" t="s">
        <v>211</v>
      </c>
      <c r="C65" s="11" t="e" vm="63">
        <v>#VALUE!</v>
      </c>
      <c r="D65" s="11" t="s">
        <v>55</v>
      </c>
      <c r="E65" s="11" t="s">
        <v>74</v>
      </c>
      <c r="F65" s="13" cm="1">
        <f t="array" aca="1" ref="F65" ca="1">_FV(C65,"Price",TRUE)</f>
        <v>353.45</v>
      </c>
      <c r="G65" s="13">
        <v>161</v>
      </c>
      <c r="H65" s="13">
        <v>236</v>
      </c>
      <c r="I65" s="13">
        <v>321</v>
      </c>
      <c r="J65" s="13">
        <v>429</v>
      </c>
      <c r="K65" s="13">
        <v>261</v>
      </c>
      <c r="L65" s="13">
        <v>373</v>
      </c>
      <c r="M65" s="13">
        <v>545</v>
      </c>
      <c r="N65" s="11" t="str">
        <f t="shared" ca="1" si="4"/>
        <v>Fully Valued / Trim</v>
      </c>
      <c r="O65" s="11">
        <f t="shared" ca="1" si="3"/>
        <v>5.5</v>
      </c>
      <c r="P65" s="14" t="s">
        <v>212</v>
      </c>
    </row>
    <row r="66" spans="1:16" ht="22" customHeight="1" x14ac:dyDescent="0.2">
      <c r="A66" s="15">
        <v>64</v>
      </c>
      <c r="B66" s="16" t="s">
        <v>213</v>
      </c>
      <c r="C66" s="15" t="e" vm="64">
        <v>#VALUE!</v>
      </c>
      <c r="D66" s="15" t="s">
        <v>55</v>
      </c>
      <c r="E66" s="15" t="s">
        <v>112</v>
      </c>
      <c r="F66" s="13" cm="1">
        <f t="array" aca="1" ref="F66" ca="1">_FV(C66,"Price",TRUE)</f>
        <v>5016.3</v>
      </c>
      <c r="G66" s="17">
        <v>2400</v>
      </c>
      <c r="H66" s="17">
        <v>3200</v>
      </c>
      <c r="I66" s="17">
        <v>4500</v>
      </c>
      <c r="J66" s="17">
        <v>5600</v>
      </c>
      <c r="K66" s="17">
        <v>4050</v>
      </c>
      <c r="L66" s="17">
        <v>4930</v>
      </c>
      <c r="M66" s="17">
        <v>10000</v>
      </c>
      <c r="N66" s="15" t="str">
        <f t="shared" ca="1" si="4"/>
        <v>Fully Valued / Trim</v>
      </c>
      <c r="O66" s="15">
        <f t="shared" ca="1" si="3"/>
        <v>-1.7</v>
      </c>
      <c r="P66" s="18" t="s">
        <v>214</v>
      </c>
    </row>
    <row r="67" spans="1:16" ht="22" customHeight="1" x14ac:dyDescent="0.2">
      <c r="A67" s="11">
        <v>65</v>
      </c>
      <c r="B67" s="12" t="s">
        <v>215</v>
      </c>
      <c r="C67" s="11" t="e" vm="65">
        <v>#VALUE!</v>
      </c>
      <c r="D67" s="11" t="s">
        <v>55</v>
      </c>
      <c r="E67" s="11" t="s">
        <v>80</v>
      </c>
      <c r="F67" s="13" cm="1">
        <f t="array" aca="1" ref="F67" ca="1">_FV(C67,"Price",TRUE)</f>
        <v>142.25</v>
      </c>
      <c r="G67" s="13">
        <v>96</v>
      </c>
      <c r="H67" s="13">
        <v>125</v>
      </c>
      <c r="I67" s="13">
        <v>173</v>
      </c>
      <c r="J67" s="13">
        <v>240</v>
      </c>
      <c r="K67" s="13">
        <v>106</v>
      </c>
      <c r="L67" s="13">
        <v>203</v>
      </c>
      <c r="M67" s="13">
        <v>316</v>
      </c>
      <c r="N67" s="11" t="str">
        <f t="shared" ca="1" si="4"/>
        <v>Fair Value / Hold</v>
      </c>
      <c r="O67" s="11">
        <f t="shared" ref="O67:O98" ca="1" si="5">IF(OR(F67="",F67=0),"N/A",ROUND((L67-F67)/F67*100,1))</f>
        <v>42.7</v>
      </c>
      <c r="P67" s="14" t="s">
        <v>216</v>
      </c>
    </row>
    <row r="68" spans="1:16" ht="22" customHeight="1" x14ac:dyDescent="0.2">
      <c r="A68" s="15">
        <v>66</v>
      </c>
      <c r="B68" s="16" t="s">
        <v>217</v>
      </c>
      <c r="C68" s="15" t="e" vm="66">
        <v>#VALUE!</v>
      </c>
      <c r="D68" s="15" t="s">
        <v>55</v>
      </c>
      <c r="E68" s="15" t="s">
        <v>155</v>
      </c>
      <c r="F68" s="13" cm="1">
        <f t="array" aca="1" ref="F68" ca="1">_FV(C68,"Price",TRUE)</f>
        <v>1011.3</v>
      </c>
      <c r="G68" s="17">
        <v>615</v>
      </c>
      <c r="H68" s="17">
        <v>850</v>
      </c>
      <c r="I68" s="17">
        <v>1025</v>
      </c>
      <c r="J68" s="17">
        <v>1230</v>
      </c>
      <c r="K68" s="17">
        <v>410</v>
      </c>
      <c r="L68" s="17">
        <v>660</v>
      </c>
      <c r="M68" s="17">
        <v>1210</v>
      </c>
      <c r="N68" s="15" t="str">
        <f t="shared" ca="1" si="4"/>
        <v>Fair Value / Hold</v>
      </c>
      <c r="O68" s="15">
        <f t="shared" ca="1" si="5"/>
        <v>-34.700000000000003</v>
      </c>
      <c r="P68" s="18" t="s">
        <v>218</v>
      </c>
    </row>
    <row r="69" spans="1:16" ht="22" customHeight="1" x14ac:dyDescent="0.2">
      <c r="A69" s="11">
        <v>67</v>
      </c>
      <c r="B69" s="12" t="s">
        <v>219</v>
      </c>
      <c r="C69" s="11" t="e" vm="67">
        <v>#VALUE!</v>
      </c>
      <c r="D69" s="11" t="s">
        <v>55</v>
      </c>
      <c r="E69" s="11" t="s">
        <v>220</v>
      </c>
      <c r="F69" s="13" cm="1">
        <f t="array" aca="1" ref="F69" ca="1">_FV(C69,"Price",TRUE)</f>
        <v>15056</v>
      </c>
      <c r="G69" s="13">
        <v>5600</v>
      </c>
      <c r="H69" s="13">
        <v>8000</v>
      </c>
      <c r="I69" s="13">
        <v>10400</v>
      </c>
      <c r="J69" s="13">
        <v>13600</v>
      </c>
      <c r="K69" s="13">
        <v>5450</v>
      </c>
      <c r="L69" s="13">
        <v>8300</v>
      </c>
      <c r="M69" s="13">
        <v>11620</v>
      </c>
      <c r="N69" s="11" t="str">
        <f t="shared" ca="1" si="4"/>
        <v>Overvalued / Sell</v>
      </c>
      <c r="O69" s="11">
        <f t="shared" ca="1" si="5"/>
        <v>-44.9</v>
      </c>
      <c r="P69" s="14" t="s">
        <v>221</v>
      </c>
    </row>
    <row r="70" spans="1:16" ht="22" customHeight="1" x14ac:dyDescent="0.2">
      <c r="A70" s="15">
        <v>68</v>
      </c>
      <c r="B70" s="16" t="s">
        <v>222</v>
      </c>
      <c r="C70" s="15" t="e" vm="68">
        <v>#VALUE!</v>
      </c>
      <c r="D70" s="15" t="s">
        <v>55</v>
      </c>
      <c r="E70" s="15" t="s">
        <v>223</v>
      </c>
      <c r="F70" s="13" cm="1">
        <f t="array" aca="1" ref="F70" ca="1">_FV(C70,"Price",TRUE)</f>
        <v>38.630000000000003</v>
      </c>
      <c r="G70" s="17">
        <v>27</v>
      </c>
      <c r="H70" s="17">
        <v>38</v>
      </c>
      <c r="I70" s="17">
        <v>50</v>
      </c>
      <c r="J70" s="17">
        <v>67</v>
      </c>
      <c r="K70" s="17">
        <v>27</v>
      </c>
      <c r="L70" s="17">
        <v>38</v>
      </c>
      <c r="M70" s="17">
        <v>50</v>
      </c>
      <c r="N70" s="15" t="str">
        <f t="shared" ca="1" si="4"/>
        <v>Fair Value / Hold</v>
      </c>
      <c r="O70" s="15">
        <f t="shared" ca="1" si="5"/>
        <v>-1.6</v>
      </c>
      <c r="P70" s="18" t="s">
        <v>224</v>
      </c>
    </row>
    <row r="71" spans="1:16" ht="22" customHeight="1" x14ac:dyDescent="0.2">
      <c r="A71" s="11">
        <v>69</v>
      </c>
      <c r="B71" s="12" t="s">
        <v>225</v>
      </c>
      <c r="C71" s="11" t="e" vm="69">
        <v>#VALUE!</v>
      </c>
      <c r="D71" s="11" t="s">
        <v>55</v>
      </c>
      <c r="E71" s="11" t="s">
        <v>226</v>
      </c>
      <c r="F71" s="13" cm="1">
        <f t="array" aca="1" ref="F71" ca="1">_FV(C71,"Price",TRUE)</f>
        <v>213.26</v>
      </c>
      <c r="G71" s="13">
        <v>74</v>
      </c>
      <c r="H71" s="13">
        <v>105</v>
      </c>
      <c r="I71" s="13">
        <v>158</v>
      </c>
      <c r="J71" s="13">
        <v>210</v>
      </c>
      <c r="K71" s="13">
        <v>107</v>
      </c>
      <c r="L71" s="13">
        <v>222</v>
      </c>
      <c r="M71" s="13">
        <v>418</v>
      </c>
      <c r="N71" s="11" t="s">
        <v>116</v>
      </c>
      <c r="O71" s="11">
        <f t="shared" ca="1" si="5"/>
        <v>4.0999999999999996</v>
      </c>
      <c r="P71" s="14" t="s">
        <v>227</v>
      </c>
    </row>
    <row r="72" spans="1:16" ht="22" customHeight="1" x14ac:dyDescent="0.2">
      <c r="A72" s="15">
        <v>70</v>
      </c>
      <c r="B72" s="16" t="s">
        <v>228</v>
      </c>
      <c r="C72" s="15" t="e" vm="70">
        <v>#VALUE!</v>
      </c>
      <c r="D72" s="15" t="s">
        <v>55</v>
      </c>
      <c r="E72" s="15" t="s">
        <v>122</v>
      </c>
      <c r="F72" s="13" cm="1">
        <f t="array" aca="1" ref="F72" ca="1">_FV(C72,"Price",TRUE)</f>
        <v>1101.0999999999999</v>
      </c>
      <c r="G72" s="17">
        <v>641</v>
      </c>
      <c r="H72" s="17">
        <v>833</v>
      </c>
      <c r="I72" s="17">
        <v>1154</v>
      </c>
      <c r="J72" s="17">
        <v>1410</v>
      </c>
      <c r="K72" s="17">
        <v>915</v>
      </c>
      <c r="L72" s="17">
        <v>1255</v>
      </c>
      <c r="M72" s="17">
        <v>1675</v>
      </c>
      <c r="N72" s="15" t="str">
        <f ca="1">IF(F72="","Enter Price",IF(F72&lt;=G72,"Deep Value / Strong Buy",IF(F72&lt;=H72,"Value / Buy",IF(F72&lt;=I72,"Fair Value / Hold",IF(F72&lt;=J72,"Fully Valued / Trim","Overvalued / Sell")))))</f>
        <v>Fair Value / Hold</v>
      </c>
      <c r="O72" s="15">
        <f t="shared" ca="1" si="5"/>
        <v>14</v>
      </c>
      <c r="P72" s="18" t="s">
        <v>229</v>
      </c>
    </row>
    <row r="73" spans="1:16" ht="22" customHeight="1" x14ac:dyDescent="0.2">
      <c r="A73" s="11">
        <v>71</v>
      </c>
      <c r="B73" s="12" t="s">
        <v>230</v>
      </c>
      <c r="C73" s="11" t="e" vm="71">
        <v>#VALUE!</v>
      </c>
      <c r="D73" s="11" t="s">
        <v>55</v>
      </c>
      <c r="E73" s="11" t="s">
        <v>231</v>
      </c>
      <c r="F73" s="13" cm="1">
        <f t="array" aca="1" ref="F73" ca="1">_FV(C73,"Price",TRUE)</f>
        <v>178.46</v>
      </c>
      <c r="G73" s="13">
        <v>114</v>
      </c>
      <c r="H73" s="13">
        <v>143</v>
      </c>
      <c r="I73" s="13">
        <v>186</v>
      </c>
      <c r="J73" s="13">
        <v>243</v>
      </c>
      <c r="K73" s="13">
        <v>91</v>
      </c>
      <c r="L73" s="13">
        <v>146</v>
      </c>
      <c r="M73" s="13">
        <v>204</v>
      </c>
      <c r="N73" s="11" t="s">
        <v>116</v>
      </c>
      <c r="O73" s="11">
        <f t="shared" ca="1" si="5"/>
        <v>-18.2</v>
      </c>
      <c r="P73" s="14" t="s">
        <v>232</v>
      </c>
    </row>
    <row r="74" spans="1:16" ht="22" customHeight="1" x14ac:dyDescent="0.2">
      <c r="A74" s="15">
        <v>72</v>
      </c>
      <c r="B74" s="16" t="s">
        <v>233</v>
      </c>
      <c r="C74" s="15" t="e" vm="72">
        <v>#VALUE!</v>
      </c>
      <c r="D74" s="15" t="s">
        <v>55</v>
      </c>
      <c r="E74" s="15" t="s">
        <v>103</v>
      </c>
      <c r="F74" s="13" cm="1">
        <f t="array" aca="1" ref="F74" ca="1">_FV(C74,"Price",TRUE)</f>
        <v>3863</v>
      </c>
      <c r="G74" s="17">
        <v>2000</v>
      </c>
      <c r="H74" s="17">
        <v>2700</v>
      </c>
      <c r="I74" s="17">
        <v>3600</v>
      </c>
      <c r="J74" s="17">
        <v>4500</v>
      </c>
      <c r="K74" s="17">
        <v>3377</v>
      </c>
      <c r="L74" s="17">
        <v>5014</v>
      </c>
      <c r="M74" s="17">
        <v>6335</v>
      </c>
      <c r="N74" s="15" t="str">
        <f t="shared" ref="N74:N93" ca="1" si="6">IF(F74="","Enter Price",IF(F74&lt;=G74,"Deep Value / Strong Buy",IF(F74&lt;=H74,"Value / Buy",IF(F74&lt;=I74,"Fair Value / Hold",IF(F74&lt;=J74,"Fully Valued / Trim","Overvalued / Sell")))))</f>
        <v>Fully Valued / Trim</v>
      </c>
      <c r="O74" s="15">
        <f t="shared" ca="1" si="5"/>
        <v>29.8</v>
      </c>
      <c r="P74" s="18" t="s">
        <v>234</v>
      </c>
    </row>
    <row r="75" spans="1:16" ht="22" customHeight="1" x14ac:dyDescent="0.2">
      <c r="A75" s="11">
        <v>73</v>
      </c>
      <c r="B75" s="12" t="s">
        <v>235</v>
      </c>
      <c r="C75" s="11" t="e" vm="73">
        <v>#VALUE!</v>
      </c>
      <c r="D75" s="11" t="s">
        <v>55</v>
      </c>
      <c r="E75" s="11" t="s">
        <v>136</v>
      </c>
      <c r="F75" s="13" cm="1">
        <f t="array" aca="1" ref="F75" ca="1">_FV(C75,"Price",TRUE)</f>
        <v>270</v>
      </c>
      <c r="G75" s="13">
        <v>200</v>
      </c>
      <c r="H75" s="13">
        <v>275</v>
      </c>
      <c r="I75" s="13">
        <v>400</v>
      </c>
      <c r="J75" s="13">
        <v>550</v>
      </c>
      <c r="K75" s="13">
        <v>519</v>
      </c>
      <c r="L75" s="13">
        <v>1043</v>
      </c>
      <c r="M75" s="13">
        <v>1703</v>
      </c>
      <c r="N75" s="11" t="str">
        <f t="shared" ca="1" si="6"/>
        <v>Value / Buy</v>
      </c>
      <c r="O75" s="11">
        <f t="shared" ca="1" si="5"/>
        <v>286.3</v>
      </c>
      <c r="P75" s="14" t="s">
        <v>236</v>
      </c>
    </row>
    <row r="76" spans="1:16" ht="22" customHeight="1" x14ac:dyDescent="0.2">
      <c r="A76" s="15">
        <v>74</v>
      </c>
      <c r="B76" s="16" t="s">
        <v>237</v>
      </c>
      <c r="C76" s="15" t="e" vm="74">
        <v>#VALUE!</v>
      </c>
      <c r="D76" s="15" t="s">
        <v>55</v>
      </c>
      <c r="E76" s="15" t="s">
        <v>103</v>
      </c>
      <c r="F76" s="13" cm="1">
        <f t="array" aca="1" ref="F76" ca="1">_FV(C76,"Price",TRUE)</f>
        <v>2500</v>
      </c>
      <c r="G76" s="17">
        <v>1705</v>
      </c>
      <c r="H76" s="17">
        <v>2728</v>
      </c>
      <c r="I76" s="17">
        <v>4092</v>
      </c>
      <c r="J76" s="17">
        <v>5456</v>
      </c>
      <c r="K76" s="17">
        <v>1887</v>
      </c>
      <c r="L76" s="17">
        <v>3322</v>
      </c>
      <c r="M76" s="17">
        <v>6228</v>
      </c>
      <c r="N76" s="15" t="str">
        <f t="shared" ca="1" si="6"/>
        <v>Value / Buy</v>
      </c>
      <c r="O76" s="15">
        <f t="shared" ca="1" si="5"/>
        <v>32.9</v>
      </c>
      <c r="P76" s="18" t="s">
        <v>238</v>
      </c>
    </row>
    <row r="77" spans="1:16" ht="22" customHeight="1" x14ac:dyDescent="0.2">
      <c r="A77" s="11">
        <v>75</v>
      </c>
      <c r="B77" s="12" t="s">
        <v>239</v>
      </c>
      <c r="C77" s="11" t="e" vm="75">
        <v>#VALUE!</v>
      </c>
      <c r="D77" s="11" t="s">
        <v>55</v>
      </c>
      <c r="E77" s="11" t="s">
        <v>119</v>
      </c>
      <c r="F77" s="13" cm="1">
        <f t="array" aca="1" ref="F77" ca="1">_FV(C77,"Price",TRUE)</f>
        <v>350.5</v>
      </c>
      <c r="G77" s="13">
        <v>240</v>
      </c>
      <c r="H77" s="13">
        <v>400</v>
      </c>
      <c r="I77" s="13">
        <v>600</v>
      </c>
      <c r="J77" s="13">
        <v>900</v>
      </c>
      <c r="K77" s="13">
        <v>571</v>
      </c>
      <c r="L77" s="13">
        <v>834</v>
      </c>
      <c r="M77" s="13">
        <v>1168</v>
      </c>
      <c r="N77" s="11" t="str">
        <f t="shared" ca="1" si="6"/>
        <v>Value / Buy</v>
      </c>
      <c r="O77" s="11">
        <f t="shared" ca="1" si="5"/>
        <v>137.9</v>
      </c>
      <c r="P77" s="14" t="s">
        <v>240</v>
      </c>
    </row>
    <row r="78" spans="1:16" ht="22" customHeight="1" x14ac:dyDescent="0.2">
      <c r="A78" s="15">
        <v>76</v>
      </c>
      <c r="B78" s="16" t="s">
        <v>241</v>
      </c>
      <c r="C78" s="15" t="e" vm="76">
        <v>#VALUE!</v>
      </c>
      <c r="D78" s="15" t="s">
        <v>55</v>
      </c>
      <c r="E78" s="15" t="s">
        <v>59</v>
      </c>
      <c r="F78" s="13" cm="1">
        <f t="array" aca="1" ref="F78" ca="1">_FV(C78,"Price",TRUE)</f>
        <v>435</v>
      </c>
      <c r="G78" s="17">
        <v>168</v>
      </c>
      <c r="H78" s="17">
        <v>247</v>
      </c>
      <c r="I78" s="17">
        <v>336</v>
      </c>
      <c r="J78" s="17">
        <v>426</v>
      </c>
      <c r="K78" s="17">
        <v>90</v>
      </c>
      <c r="L78" s="17">
        <v>182</v>
      </c>
      <c r="M78" s="17">
        <v>371</v>
      </c>
      <c r="N78" s="15" t="str">
        <f t="shared" ca="1" si="6"/>
        <v>Overvalued / Sell</v>
      </c>
      <c r="O78" s="15">
        <f t="shared" ca="1" si="5"/>
        <v>-58.2</v>
      </c>
      <c r="P78" s="18" t="s">
        <v>242</v>
      </c>
    </row>
    <row r="79" spans="1:16" ht="22" customHeight="1" x14ac:dyDescent="0.2">
      <c r="A79" s="11">
        <v>77</v>
      </c>
      <c r="B79" s="12" t="s">
        <v>243</v>
      </c>
      <c r="C79" s="11" t="e" vm="77">
        <v>#VALUE!</v>
      </c>
      <c r="D79" s="11" t="s">
        <v>55</v>
      </c>
      <c r="E79" s="11" t="s">
        <v>207</v>
      </c>
      <c r="F79" s="13" cm="1">
        <f t="array" aca="1" ref="F79" ca="1">_FV(C79,"Price",TRUE)</f>
        <v>210.07</v>
      </c>
      <c r="G79" s="13">
        <v>61</v>
      </c>
      <c r="H79" s="13">
        <v>91</v>
      </c>
      <c r="I79" s="13">
        <v>122</v>
      </c>
      <c r="J79" s="13">
        <v>186</v>
      </c>
      <c r="K79" s="13">
        <v>4</v>
      </c>
      <c r="L79" s="13">
        <v>60</v>
      </c>
      <c r="M79" s="13">
        <v>224</v>
      </c>
      <c r="N79" s="11" t="str">
        <f t="shared" ca="1" si="6"/>
        <v>Overvalued / Sell</v>
      </c>
      <c r="O79" s="11">
        <f t="shared" ca="1" si="5"/>
        <v>-71.400000000000006</v>
      </c>
      <c r="P79" s="14" t="s">
        <v>244</v>
      </c>
    </row>
    <row r="80" spans="1:16" ht="22" customHeight="1" x14ac:dyDescent="0.2">
      <c r="A80" s="15">
        <v>78</v>
      </c>
      <c r="B80" s="16" t="s">
        <v>245</v>
      </c>
      <c r="C80" s="15" t="e" vm="78">
        <v>#VALUE!</v>
      </c>
      <c r="D80" s="15" t="s">
        <v>55</v>
      </c>
      <c r="E80" s="15" t="s">
        <v>74</v>
      </c>
      <c r="F80" s="13" cm="1">
        <f t="array" aca="1" ref="F80" ca="1">_FV(C80,"Price",TRUE)</f>
        <v>4410</v>
      </c>
      <c r="G80" s="17">
        <v>1850</v>
      </c>
      <c r="H80" s="17">
        <v>2550</v>
      </c>
      <c r="I80" s="17">
        <v>3500</v>
      </c>
      <c r="J80" s="17">
        <v>4650</v>
      </c>
      <c r="K80" s="17">
        <v>2181</v>
      </c>
      <c r="L80" s="17">
        <v>3946</v>
      </c>
      <c r="M80" s="17">
        <v>6525</v>
      </c>
      <c r="N80" s="15" t="str">
        <f t="shared" ca="1" si="6"/>
        <v>Fully Valued / Trim</v>
      </c>
      <c r="O80" s="15">
        <f t="shared" ca="1" si="5"/>
        <v>-10.5</v>
      </c>
      <c r="P80" s="18" t="s">
        <v>246</v>
      </c>
    </row>
    <row r="81" spans="1:16" ht="22" customHeight="1" x14ac:dyDescent="0.2">
      <c r="A81" s="11">
        <v>79</v>
      </c>
      <c r="B81" s="12" t="s">
        <v>247</v>
      </c>
      <c r="C81" s="11" t="e" vm="79">
        <v>#VALUE!</v>
      </c>
      <c r="D81" s="11" t="s">
        <v>55</v>
      </c>
      <c r="E81" s="11" t="s">
        <v>155</v>
      </c>
      <c r="F81" s="13" cm="1">
        <f t="array" aca="1" ref="F81" ca="1">_FV(C81,"Price",TRUE)</f>
        <v>14223</v>
      </c>
      <c r="G81" s="13">
        <v>7700</v>
      </c>
      <c r="H81" s="13">
        <v>11550</v>
      </c>
      <c r="I81" s="13">
        <v>15400</v>
      </c>
      <c r="J81" s="13">
        <v>19250</v>
      </c>
      <c r="K81" s="13">
        <v>18650</v>
      </c>
      <c r="L81" s="13">
        <v>23700</v>
      </c>
      <c r="M81" s="13">
        <v>33250</v>
      </c>
      <c r="N81" s="11" t="str">
        <f t="shared" ca="1" si="6"/>
        <v>Fair Value / Hold</v>
      </c>
      <c r="O81" s="11">
        <f t="shared" ca="1" si="5"/>
        <v>66.599999999999994</v>
      </c>
      <c r="P81" s="14" t="s">
        <v>248</v>
      </c>
    </row>
    <row r="82" spans="1:16" ht="22" customHeight="1" x14ac:dyDescent="0.2">
      <c r="A82" s="15">
        <v>80</v>
      </c>
      <c r="B82" s="16" t="s">
        <v>249</v>
      </c>
      <c r="C82" s="15" t="e" vm="80">
        <v>#VALUE!</v>
      </c>
      <c r="D82" s="15" t="s">
        <v>55</v>
      </c>
      <c r="E82" s="15" t="s">
        <v>112</v>
      </c>
      <c r="F82" s="13" cm="1">
        <f t="array" aca="1" ref="F82" ca="1">_FV(C82,"Price",TRUE)</f>
        <v>3488.2</v>
      </c>
      <c r="G82" s="17">
        <v>1500</v>
      </c>
      <c r="H82" s="17">
        <v>2100</v>
      </c>
      <c r="I82" s="17">
        <v>2800</v>
      </c>
      <c r="J82" s="17">
        <v>3500</v>
      </c>
      <c r="K82" s="17">
        <v>1487</v>
      </c>
      <c r="L82" s="17">
        <v>3007</v>
      </c>
      <c r="M82" s="17">
        <v>5369</v>
      </c>
      <c r="N82" s="15" t="str">
        <f t="shared" ca="1" si="6"/>
        <v>Fully Valued / Trim</v>
      </c>
      <c r="O82" s="15">
        <f t="shared" ca="1" si="5"/>
        <v>-13.8</v>
      </c>
      <c r="P82" s="18" t="s">
        <v>250</v>
      </c>
    </row>
    <row r="83" spans="1:16" ht="22" customHeight="1" x14ac:dyDescent="0.2">
      <c r="A83" s="11">
        <v>81</v>
      </c>
      <c r="B83" s="12" t="s">
        <v>251</v>
      </c>
      <c r="C83" s="11" t="e" vm="81">
        <v>#VALUE!</v>
      </c>
      <c r="D83" s="11" t="s">
        <v>55</v>
      </c>
      <c r="E83" s="11" t="s">
        <v>103</v>
      </c>
      <c r="F83" s="13" cm="1">
        <f t="array" aca="1" ref="F83" ca="1">_FV(C83,"Price",TRUE)</f>
        <v>490.45</v>
      </c>
      <c r="G83" s="13">
        <v>225</v>
      </c>
      <c r="H83" s="13">
        <v>288</v>
      </c>
      <c r="I83" s="13">
        <v>377</v>
      </c>
      <c r="J83" s="13">
        <v>494</v>
      </c>
      <c r="K83" s="13">
        <v>248</v>
      </c>
      <c r="L83" s="13">
        <v>402</v>
      </c>
      <c r="M83" s="13">
        <v>562</v>
      </c>
      <c r="N83" s="11" t="str">
        <f t="shared" ca="1" si="6"/>
        <v>Fully Valued / Trim</v>
      </c>
      <c r="O83" s="11">
        <f t="shared" ca="1" si="5"/>
        <v>-18</v>
      </c>
      <c r="P83" s="14" t="s">
        <v>252</v>
      </c>
    </row>
    <row r="84" spans="1:16" ht="22" customHeight="1" x14ac:dyDescent="0.2">
      <c r="A84" s="15">
        <v>82</v>
      </c>
      <c r="B84" s="16" t="s">
        <v>253</v>
      </c>
      <c r="C84" s="15" t="e" vm="82">
        <v>#VALUE!</v>
      </c>
      <c r="D84" s="15" t="s">
        <v>254</v>
      </c>
      <c r="E84" s="15" t="s">
        <v>255</v>
      </c>
      <c r="F84" s="13" cm="1">
        <f t="array" aca="1" ref="F84" ca="1">_FV(C84,"Price",TRUE)</f>
        <v>338.89</v>
      </c>
      <c r="G84" s="17">
        <v>220</v>
      </c>
      <c r="H84" s="17">
        <v>280</v>
      </c>
      <c r="I84" s="17">
        <v>360</v>
      </c>
      <c r="J84" s="17">
        <v>430</v>
      </c>
      <c r="K84" s="17">
        <v>222</v>
      </c>
      <c r="L84" s="17">
        <v>279</v>
      </c>
      <c r="M84" s="17">
        <v>354</v>
      </c>
      <c r="N84" s="15" t="str">
        <f t="shared" ca="1" si="6"/>
        <v>Fair Value / Hold</v>
      </c>
      <c r="O84" s="15">
        <f t="shared" ca="1" si="5"/>
        <v>-17.7</v>
      </c>
      <c r="P84" s="18" t="s">
        <v>256</v>
      </c>
    </row>
    <row r="85" spans="1:16" ht="22" customHeight="1" x14ac:dyDescent="0.2">
      <c r="A85" s="11">
        <v>83</v>
      </c>
      <c r="B85" s="12" t="s">
        <v>257</v>
      </c>
      <c r="C85" s="11" t="e" vm="83">
        <v>#VALUE!</v>
      </c>
      <c r="D85" s="11" t="s">
        <v>254</v>
      </c>
      <c r="E85" s="11" t="s">
        <v>258</v>
      </c>
      <c r="F85" s="13" cm="1">
        <f t="array" aca="1" ref="F85" ca="1">_FV(C85,"Price",TRUE)</f>
        <v>255.08</v>
      </c>
      <c r="G85" s="13">
        <v>200</v>
      </c>
      <c r="H85" s="13">
        <v>250</v>
      </c>
      <c r="I85" s="13">
        <v>320</v>
      </c>
      <c r="J85" s="13">
        <v>400</v>
      </c>
      <c r="K85" s="13">
        <v>211</v>
      </c>
      <c r="L85" s="13">
        <v>254</v>
      </c>
      <c r="M85" s="13">
        <v>307</v>
      </c>
      <c r="N85" s="11" t="str">
        <f t="shared" ca="1" si="6"/>
        <v>Fair Value / Hold</v>
      </c>
      <c r="O85" s="11">
        <f t="shared" ca="1" si="5"/>
        <v>-0.4</v>
      </c>
      <c r="P85" s="14" t="s">
        <v>259</v>
      </c>
    </row>
    <row r="86" spans="1:16" ht="22" customHeight="1" x14ac:dyDescent="0.2">
      <c r="A86" s="15">
        <v>84</v>
      </c>
      <c r="B86" s="16" t="s">
        <v>260</v>
      </c>
      <c r="C86" s="15" t="e" vm="84">
        <v>#VALUE!</v>
      </c>
      <c r="D86" s="15" t="s">
        <v>254</v>
      </c>
      <c r="E86" s="15" t="s">
        <v>220</v>
      </c>
      <c r="F86" s="13" cm="1">
        <f t="array" aca="1" ref="F86" ca="1">_FV(C86,"Price",TRUE)</f>
        <v>273.43</v>
      </c>
      <c r="G86" s="17">
        <v>148</v>
      </c>
      <c r="H86" s="17">
        <v>185</v>
      </c>
      <c r="I86" s="17">
        <v>222</v>
      </c>
      <c r="J86" s="17">
        <v>259</v>
      </c>
      <c r="K86" s="17">
        <v>94</v>
      </c>
      <c r="L86" s="17">
        <v>123</v>
      </c>
      <c r="M86" s="17">
        <v>166</v>
      </c>
      <c r="N86" s="15" t="str">
        <f t="shared" ca="1" si="6"/>
        <v>Overvalued / Sell</v>
      </c>
      <c r="O86" s="15">
        <f t="shared" ca="1" si="5"/>
        <v>-55</v>
      </c>
      <c r="P86" s="18" t="s">
        <v>261</v>
      </c>
    </row>
    <row r="87" spans="1:16" ht="22" customHeight="1" x14ac:dyDescent="0.2">
      <c r="A87" s="11">
        <v>85</v>
      </c>
      <c r="B87" s="12" t="s">
        <v>262</v>
      </c>
      <c r="C87" s="11" t="e" vm="85">
        <v>#VALUE!</v>
      </c>
      <c r="D87" s="11" t="s">
        <v>254</v>
      </c>
      <c r="E87" s="11" t="s">
        <v>258</v>
      </c>
      <c r="F87" s="13" cm="1">
        <f t="array" aca="1" ref="F87" ca="1">_FV(C87,"Price",TRUE)</f>
        <v>419.94</v>
      </c>
      <c r="G87" s="13">
        <v>250</v>
      </c>
      <c r="H87" s="13">
        <v>325</v>
      </c>
      <c r="I87" s="13">
        <v>425</v>
      </c>
      <c r="J87" s="13">
        <v>550</v>
      </c>
      <c r="K87" s="13">
        <v>125</v>
      </c>
      <c r="L87" s="13">
        <v>182</v>
      </c>
      <c r="M87" s="13">
        <v>265</v>
      </c>
      <c r="N87" s="11" t="str">
        <f t="shared" ca="1" si="6"/>
        <v>Fair Value / Hold</v>
      </c>
      <c r="O87" s="11">
        <f t="shared" ca="1" si="5"/>
        <v>-56.7</v>
      </c>
      <c r="P87" s="14" t="s">
        <v>263</v>
      </c>
    </row>
    <row r="88" spans="1:16" ht="22" customHeight="1" x14ac:dyDescent="0.2">
      <c r="A88" s="15">
        <v>86</v>
      </c>
      <c r="B88" s="16" t="s">
        <v>264</v>
      </c>
      <c r="C88" s="15" t="e" vm="86">
        <v>#VALUE!</v>
      </c>
      <c r="D88" s="15" t="s">
        <v>254</v>
      </c>
      <c r="E88" s="15" t="s">
        <v>103</v>
      </c>
      <c r="F88" s="13" cm="1">
        <f t="array" aca="1" ref="F88" ca="1">_FV(C88,"Price",TRUE)</f>
        <v>659.15</v>
      </c>
      <c r="G88" s="17">
        <v>445</v>
      </c>
      <c r="H88" s="17">
        <v>594</v>
      </c>
      <c r="I88" s="17">
        <v>743</v>
      </c>
      <c r="J88" s="17">
        <v>950</v>
      </c>
      <c r="K88" s="17">
        <v>634</v>
      </c>
      <c r="L88" s="17">
        <v>926</v>
      </c>
      <c r="M88" s="17">
        <v>1276</v>
      </c>
      <c r="N88" s="15" t="str">
        <f t="shared" ca="1" si="6"/>
        <v>Fair Value / Hold</v>
      </c>
      <c r="O88" s="15">
        <f t="shared" ca="1" si="5"/>
        <v>40.5</v>
      </c>
      <c r="P88" s="18" t="s">
        <v>265</v>
      </c>
    </row>
    <row r="89" spans="1:16" ht="22" customHeight="1" x14ac:dyDescent="0.2">
      <c r="A89" s="11">
        <v>87</v>
      </c>
      <c r="B89" s="12" t="s">
        <v>266</v>
      </c>
      <c r="C89" s="11" t="e" vm="87">
        <v>#VALUE!</v>
      </c>
      <c r="D89" s="11" t="s">
        <v>254</v>
      </c>
      <c r="E89" s="11" t="s">
        <v>220</v>
      </c>
      <c r="F89" s="13" cm="1">
        <f t="array" aca="1" ref="F89" ca="1">_FV(C89,"Price",TRUE)</f>
        <v>415.75</v>
      </c>
      <c r="G89" s="13">
        <v>320</v>
      </c>
      <c r="H89" s="13">
        <v>400</v>
      </c>
      <c r="I89" s="13">
        <v>480</v>
      </c>
      <c r="J89" s="13">
        <v>608</v>
      </c>
      <c r="K89" s="13">
        <v>357</v>
      </c>
      <c r="L89" s="13">
        <v>451</v>
      </c>
      <c r="M89" s="13">
        <v>573</v>
      </c>
      <c r="N89" s="11" t="str">
        <f t="shared" ca="1" si="6"/>
        <v>Fair Value / Hold</v>
      </c>
      <c r="O89" s="11">
        <f t="shared" ca="1" si="5"/>
        <v>8.5</v>
      </c>
      <c r="P89" s="14" t="s">
        <v>267</v>
      </c>
    </row>
    <row r="90" spans="1:16" ht="22" customHeight="1" x14ac:dyDescent="0.2">
      <c r="A90" s="15">
        <v>88</v>
      </c>
      <c r="B90" s="16" t="s">
        <v>268</v>
      </c>
      <c r="C90" s="15" t="e" vm="88">
        <v>#VALUE!</v>
      </c>
      <c r="D90" s="15" t="s">
        <v>254</v>
      </c>
      <c r="E90" s="15" t="s">
        <v>269</v>
      </c>
      <c r="F90" s="13" cm="1">
        <f t="array" aca="1" ref="F90" ca="1">_FV(C90,"Price",TRUE)</f>
        <v>199.64</v>
      </c>
      <c r="G90" s="17">
        <v>130</v>
      </c>
      <c r="H90" s="17">
        <v>170</v>
      </c>
      <c r="I90" s="17">
        <v>220</v>
      </c>
      <c r="J90" s="17">
        <v>280</v>
      </c>
      <c r="K90" s="17">
        <v>132</v>
      </c>
      <c r="L90" s="17">
        <v>193</v>
      </c>
      <c r="M90" s="17">
        <v>274</v>
      </c>
      <c r="N90" s="15" t="str">
        <f t="shared" ca="1" si="6"/>
        <v>Fair Value / Hold</v>
      </c>
      <c r="O90" s="15">
        <f t="shared" ca="1" si="5"/>
        <v>-3.3</v>
      </c>
      <c r="P90" s="18" t="s">
        <v>270</v>
      </c>
    </row>
    <row r="91" spans="1:16" ht="22" customHeight="1" x14ac:dyDescent="0.2">
      <c r="A91" s="11">
        <v>89</v>
      </c>
      <c r="B91" s="12" t="s">
        <v>271</v>
      </c>
      <c r="C91" s="11" t="e" vm="89">
        <v>#VALUE!</v>
      </c>
      <c r="D91" s="11" t="s">
        <v>254</v>
      </c>
      <c r="E91" s="11" t="s">
        <v>272</v>
      </c>
      <c r="F91" s="13" cm="1">
        <f t="array" aca="1" ref="F91" ca="1">_FV(C91,"Price",TRUE)</f>
        <v>49.75</v>
      </c>
      <c r="G91" s="13">
        <v>54</v>
      </c>
      <c r="H91" s="13">
        <v>81</v>
      </c>
      <c r="I91" s="13">
        <v>119</v>
      </c>
      <c r="J91" s="13">
        <v>162</v>
      </c>
      <c r="K91" s="13">
        <v>104</v>
      </c>
      <c r="L91" s="13">
        <v>131</v>
      </c>
      <c r="M91" s="13">
        <v>165</v>
      </c>
      <c r="N91" s="11" t="str">
        <f t="shared" ca="1" si="6"/>
        <v>Deep Value / Strong Buy</v>
      </c>
      <c r="O91" s="11">
        <f t="shared" ca="1" si="5"/>
        <v>163.30000000000001</v>
      </c>
      <c r="P91" s="14" t="s">
        <v>273</v>
      </c>
    </row>
    <row r="92" spans="1:16" ht="22" customHeight="1" x14ac:dyDescent="0.2">
      <c r="A92" s="15">
        <v>90</v>
      </c>
      <c r="B92" s="16" t="s">
        <v>274</v>
      </c>
      <c r="C92" s="15" t="e" vm="90">
        <v>#VALUE!</v>
      </c>
      <c r="D92" s="15" t="s">
        <v>55</v>
      </c>
      <c r="E92" s="15" t="s">
        <v>103</v>
      </c>
      <c r="F92" s="13" cm="1">
        <f t="array" aca="1" ref="F92" ca="1">_FV(C92,"Price",TRUE)</f>
        <v>2485.1</v>
      </c>
      <c r="G92" s="17">
        <v>645</v>
      </c>
      <c r="H92" s="17">
        <v>922</v>
      </c>
      <c r="I92" s="17">
        <v>1198</v>
      </c>
      <c r="J92" s="17">
        <v>1638</v>
      </c>
      <c r="K92" s="17">
        <v>922</v>
      </c>
      <c r="L92" s="17">
        <v>1198</v>
      </c>
      <c r="M92" s="17">
        <v>1638</v>
      </c>
      <c r="N92" s="15" t="str">
        <f t="shared" ca="1" si="6"/>
        <v>Overvalued / Sell</v>
      </c>
      <c r="O92" s="15">
        <f t="shared" ca="1" si="5"/>
        <v>-51.8</v>
      </c>
      <c r="P92" s="18" t="s">
        <v>275</v>
      </c>
    </row>
    <row r="93" spans="1:16" ht="22" customHeight="1" x14ac:dyDescent="0.2">
      <c r="A93" s="11">
        <v>91</v>
      </c>
      <c r="B93" s="12" t="s">
        <v>276</v>
      </c>
      <c r="C93" s="11" t="e" vm="91">
        <v>#VALUE!</v>
      </c>
      <c r="D93" s="11" t="s">
        <v>55</v>
      </c>
      <c r="E93" s="11" t="s">
        <v>112</v>
      </c>
      <c r="F93" s="13" cm="1">
        <f t="array" aca="1" ref="F93" ca="1">_FV(C93,"Price",TRUE)</f>
        <v>275.52999999999997</v>
      </c>
      <c r="G93" s="13">
        <v>188</v>
      </c>
      <c r="H93" s="13">
        <v>250</v>
      </c>
      <c r="I93" s="13">
        <v>344</v>
      </c>
      <c r="J93" s="13">
        <v>470</v>
      </c>
      <c r="K93" s="13">
        <v>316</v>
      </c>
      <c r="L93" s="13">
        <v>487</v>
      </c>
      <c r="M93" s="13">
        <v>653</v>
      </c>
      <c r="N93" s="11" t="str">
        <f t="shared" ca="1" si="6"/>
        <v>Fair Value / Hold</v>
      </c>
      <c r="O93" s="11">
        <f t="shared" ca="1" si="5"/>
        <v>76.8</v>
      </c>
      <c r="P93" s="14" t="s">
        <v>277</v>
      </c>
    </row>
    <row r="94" spans="1:16" ht="22" customHeight="1" x14ac:dyDescent="0.2">
      <c r="A94" s="15">
        <v>92</v>
      </c>
      <c r="B94" s="16" t="s">
        <v>278</v>
      </c>
      <c r="C94" s="15" t="e" vm="92">
        <v>#VALUE!</v>
      </c>
      <c r="D94" s="15" t="s">
        <v>55</v>
      </c>
      <c r="E94" s="15" t="s">
        <v>279</v>
      </c>
      <c r="F94" s="13" cm="1">
        <f t="array" aca="1" ref="F94" ca="1">_FV(C94,"Price",TRUE)</f>
        <v>33.72</v>
      </c>
      <c r="G94" s="17">
        <v>16.7</v>
      </c>
      <c r="H94" s="17">
        <v>25</v>
      </c>
      <c r="I94" s="17">
        <v>34.700000000000003</v>
      </c>
      <c r="J94" s="17">
        <v>48.6</v>
      </c>
      <c r="K94" s="17">
        <v>35.950000000000003</v>
      </c>
      <c r="L94" s="17">
        <v>43.8</v>
      </c>
      <c r="M94" s="17">
        <v>53.34</v>
      </c>
      <c r="N94" s="15" t="s">
        <v>116</v>
      </c>
      <c r="O94" s="15">
        <f t="shared" ca="1" si="5"/>
        <v>29.9</v>
      </c>
      <c r="P94" s="18" t="s">
        <v>280</v>
      </c>
    </row>
    <row r="95" spans="1:16" ht="22" customHeight="1" x14ac:dyDescent="0.2">
      <c r="A95" s="11">
        <v>93</v>
      </c>
      <c r="B95" s="12" t="s">
        <v>281</v>
      </c>
      <c r="C95" s="11" t="e" vm="93">
        <v>#VALUE!</v>
      </c>
      <c r="D95" s="11" t="s">
        <v>55</v>
      </c>
      <c r="E95" s="11" t="s">
        <v>129</v>
      </c>
      <c r="F95" s="13" cm="1">
        <f t="array" aca="1" ref="F95" ca="1">_FV(C95,"Price",TRUE)</f>
        <v>5730.5</v>
      </c>
      <c r="G95" s="13">
        <v>2700</v>
      </c>
      <c r="H95" s="13">
        <v>3600</v>
      </c>
      <c r="I95" s="13">
        <v>5000</v>
      </c>
      <c r="J95" s="13">
        <v>5900</v>
      </c>
      <c r="K95" s="13">
        <v>2030</v>
      </c>
      <c r="L95" s="13">
        <v>2369</v>
      </c>
      <c r="M95" s="13">
        <v>3281</v>
      </c>
      <c r="N95" s="11" t="str">
        <f t="shared" ref="N95:N108" ca="1" si="7">IF(F95="","Enter Price",IF(F95&lt;=G95,"Deep Value / Strong Buy",IF(F95&lt;=H95,"Value / Buy",IF(F95&lt;=I95,"Fair Value / Hold",IF(F95&lt;=J95,"Fully Valued / Trim","Overvalued / Sell")))))</f>
        <v>Fully Valued / Trim</v>
      </c>
      <c r="O95" s="11">
        <f t="shared" ca="1" si="5"/>
        <v>-58.7</v>
      </c>
      <c r="P95" s="14" t="s">
        <v>282</v>
      </c>
    </row>
    <row r="96" spans="1:16" ht="22" customHeight="1" x14ac:dyDescent="0.2">
      <c r="A96" s="15">
        <v>94</v>
      </c>
      <c r="B96" s="16" t="s">
        <v>283</v>
      </c>
      <c r="C96" s="15" t="e" vm="94">
        <v>#VALUE!</v>
      </c>
      <c r="D96" s="15" t="s">
        <v>55</v>
      </c>
      <c r="E96" s="15" t="s">
        <v>175</v>
      </c>
      <c r="F96" s="13" cm="1">
        <f t="array" aca="1" ref="F96" ca="1">_FV(C96,"Price",TRUE)</f>
        <v>302.14999999999998</v>
      </c>
      <c r="G96" s="17">
        <v>240</v>
      </c>
      <c r="H96" s="17">
        <v>240</v>
      </c>
      <c r="I96" s="17">
        <v>320</v>
      </c>
      <c r="J96" s="17">
        <v>500</v>
      </c>
      <c r="K96" s="17">
        <v>438</v>
      </c>
      <c r="L96" s="17">
        <v>671</v>
      </c>
      <c r="M96" s="17">
        <v>943</v>
      </c>
      <c r="N96" s="15" t="str">
        <f t="shared" ca="1" si="7"/>
        <v>Fair Value / Hold</v>
      </c>
      <c r="O96" s="15">
        <f t="shared" ca="1" si="5"/>
        <v>122.1</v>
      </c>
      <c r="P96" s="18" t="s">
        <v>284</v>
      </c>
    </row>
    <row r="97" spans="1:16" ht="22" customHeight="1" x14ac:dyDescent="0.2">
      <c r="A97" s="11">
        <v>95</v>
      </c>
      <c r="B97" s="12" t="s">
        <v>285</v>
      </c>
      <c r="C97" s="11" t="e" vm="95">
        <v>#VALUE!</v>
      </c>
      <c r="D97" s="11" t="s">
        <v>55</v>
      </c>
      <c r="E97" s="11" t="s">
        <v>139</v>
      </c>
      <c r="F97" s="13" cm="1">
        <f t="array" aca="1" ref="F97" ca="1">_FV(C97,"Price",TRUE)</f>
        <v>2107.1999999999998</v>
      </c>
      <c r="G97" s="13">
        <v>1646</v>
      </c>
      <c r="H97" s="13">
        <v>1975</v>
      </c>
      <c r="I97" s="13">
        <v>2305</v>
      </c>
      <c r="J97" s="13">
        <v>2881</v>
      </c>
      <c r="K97" s="13">
        <v>1777</v>
      </c>
      <c r="L97" s="13">
        <v>2230</v>
      </c>
      <c r="M97" s="13">
        <v>2838</v>
      </c>
      <c r="N97" s="11" t="str">
        <f t="shared" ca="1" si="7"/>
        <v>Fair Value / Hold</v>
      </c>
      <c r="O97" s="11">
        <f t="shared" ca="1" si="5"/>
        <v>5.8</v>
      </c>
      <c r="P97" s="14" t="s">
        <v>286</v>
      </c>
    </row>
    <row r="98" spans="1:16" ht="22" customHeight="1" x14ac:dyDescent="0.2">
      <c r="A98" s="15">
        <v>96</v>
      </c>
      <c r="B98" s="16" t="s">
        <v>287</v>
      </c>
      <c r="C98" s="15" t="e" vm="96">
        <v>#VALUE!</v>
      </c>
      <c r="D98" s="15" t="s">
        <v>55</v>
      </c>
      <c r="E98" s="15" t="s">
        <v>129</v>
      </c>
      <c r="F98" s="13" cm="1">
        <f t="array" aca="1" ref="F98" ca="1">_FV(C98,"Price",TRUE)</f>
        <v>4265.8</v>
      </c>
      <c r="G98" s="17">
        <v>2400</v>
      </c>
      <c r="H98" s="17">
        <v>3200</v>
      </c>
      <c r="I98" s="17">
        <v>4000</v>
      </c>
      <c r="J98" s="17">
        <v>4800</v>
      </c>
      <c r="K98" s="17">
        <v>2459</v>
      </c>
      <c r="L98" s="17">
        <v>4111</v>
      </c>
      <c r="M98" s="17">
        <v>6586</v>
      </c>
      <c r="N98" s="15" t="str">
        <f t="shared" ca="1" si="7"/>
        <v>Fully Valued / Trim</v>
      </c>
      <c r="O98" s="15">
        <f t="shared" ca="1" si="5"/>
        <v>-3.6</v>
      </c>
      <c r="P98" s="18" t="s">
        <v>288</v>
      </c>
    </row>
    <row r="99" spans="1:16" ht="22" customHeight="1" x14ac:dyDescent="0.2">
      <c r="A99" s="11">
        <v>97</v>
      </c>
      <c r="B99" s="12" t="s">
        <v>289</v>
      </c>
      <c r="C99" s="11" t="e" vm="97">
        <v>#VALUE!</v>
      </c>
      <c r="D99" s="11" t="s">
        <v>55</v>
      </c>
      <c r="E99" s="11" t="s">
        <v>71</v>
      </c>
      <c r="F99" s="13" cm="1">
        <f t="array" aca="1" ref="F99" ca="1">_FV(C99,"Price",TRUE)</f>
        <v>103.92</v>
      </c>
      <c r="G99" s="13">
        <v>52</v>
      </c>
      <c r="H99" s="13">
        <v>69</v>
      </c>
      <c r="I99" s="13">
        <v>86</v>
      </c>
      <c r="J99" s="13">
        <v>107</v>
      </c>
      <c r="K99" s="13">
        <v>43</v>
      </c>
      <c r="L99" s="13">
        <v>60</v>
      </c>
      <c r="M99" s="13">
        <v>91</v>
      </c>
      <c r="N99" s="11" t="str">
        <f t="shared" ca="1" si="7"/>
        <v>Fully Valued / Trim</v>
      </c>
      <c r="O99" s="11">
        <f t="shared" ref="O99:O114" ca="1" si="8">IF(OR(F99="",F99=0),"N/A",ROUND((L99-F99)/F99*100,1))</f>
        <v>-42.3</v>
      </c>
      <c r="P99" s="14" t="s">
        <v>290</v>
      </c>
    </row>
    <row r="100" spans="1:16" ht="22" customHeight="1" x14ac:dyDescent="0.2">
      <c r="A100" s="15">
        <v>98</v>
      </c>
      <c r="B100" s="16" t="s">
        <v>291</v>
      </c>
      <c r="C100" s="15" t="e" vm="98">
        <v>#VALUE!</v>
      </c>
      <c r="D100" s="15" t="s">
        <v>55</v>
      </c>
      <c r="E100" s="15" t="s">
        <v>94</v>
      </c>
      <c r="F100" s="13" cm="1">
        <f t="array" aca="1" ref="F100" ca="1">_FV(C100,"Price",TRUE)</f>
        <v>2947.8</v>
      </c>
      <c r="G100" s="17">
        <v>1440</v>
      </c>
      <c r="H100" s="17">
        <v>2016</v>
      </c>
      <c r="I100" s="17">
        <v>2520</v>
      </c>
      <c r="J100" s="17">
        <v>3240</v>
      </c>
      <c r="K100" s="17">
        <v>1446</v>
      </c>
      <c r="L100" s="17">
        <v>2074</v>
      </c>
      <c r="M100" s="17">
        <v>2512</v>
      </c>
      <c r="N100" s="15" t="str">
        <f t="shared" ca="1" si="7"/>
        <v>Fully Valued / Trim</v>
      </c>
      <c r="O100" s="15">
        <f t="shared" ca="1" si="8"/>
        <v>-29.6</v>
      </c>
      <c r="P100" s="18" t="s">
        <v>292</v>
      </c>
    </row>
    <row r="101" spans="1:16" ht="22" customHeight="1" x14ac:dyDescent="0.2">
      <c r="A101" s="11">
        <v>99</v>
      </c>
      <c r="B101" s="12" t="s">
        <v>293</v>
      </c>
      <c r="C101" s="11" t="e" vm="99">
        <v>#VALUE!</v>
      </c>
      <c r="D101" s="11" t="s">
        <v>55</v>
      </c>
      <c r="E101" s="11" t="s">
        <v>195</v>
      </c>
      <c r="F101" s="13" cm="1">
        <f t="array" aca="1" ref="F101" ca="1">_FV(C101,"Price",TRUE)</f>
        <v>279.12</v>
      </c>
      <c r="G101" s="13">
        <v>165</v>
      </c>
      <c r="H101" s="13">
        <v>165</v>
      </c>
      <c r="I101" s="13">
        <v>236</v>
      </c>
      <c r="J101" s="13">
        <v>379</v>
      </c>
      <c r="K101" s="13">
        <v>236</v>
      </c>
      <c r="L101" s="13">
        <v>288</v>
      </c>
      <c r="M101" s="13">
        <v>379</v>
      </c>
      <c r="N101" s="11" t="str">
        <f t="shared" ca="1" si="7"/>
        <v>Fully Valued / Trim</v>
      </c>
      <c r="O101" s="11">
        <f t="shared" ca="1" si="8"/>
        <v>3.2</v>
      </c>
      <c r="P101" s="14" t="s">
        <v>294</v>
      </c>
    </row>
    <row r="102" spans="1:16" ht="22" customHeight="1" x14ac:dyDescent="0.2">
      <c r="A102" s="15">
        <v>100</v>
      </c>
      <c r="B102" s="16" t="s">
        <v>295</v>
      </c>
      <c r="C102" s="15" t="e" vm="100">
        <v>#VALUE!</v>
      </c>
      <c r="D102" s="15" t="s">
        <v>55</v>
      </c>
      <c r="E102" s="15" t="s">
        <v>100</v>
      </c>
      <c r="F102" s="13" cm="1">
        <f t="array" aca="1" ref="F102" ca="1">_FV(C102,"Price",TRUE)</f>
        <v>783.3</v>
      </c>
      <c r="G102" s="17">
        <v>397</v>
      </c>
      <c r="H102" s="17">
        <v>529</v>
      </c>
      <c r="I102" s="17">
        <v>661</v>
      </c>
      <c r="J102" s="17">
        <v>793</v>
      </c>
      <c r="K102" s="17">
        <v>349</v>
      </c>
      <c r="L102" s="17">
        <v>421</v>
      </c>
      <c r="M102" s="17">
        <v>578</v>
      </c>
      <c r="N102" s="15" t="str">
        <f t="shared" ca="1" si="7"/>
        <v>Fully Valued / Trim</v>
      </c>
      <c r="O102" s="15">
        <f t="shared" ca="1" si="8"/>
        <v>-46.3</v>
      </c>
      <c r="P102" s="18" t="s">
        <v>296</v>
      </c>
    </row>
    <row r="103" spans="1:16" ht="22" customHeight="1" x14ac:dyDescent="0.2">
      <c r="A103" s="11">
        <v>101</v>
      </c>
      <c r="B103" s="12" t="s">
        <v>297</v>
      </c>
      <c r="C103" s="11" t="e" vm="101">
        <v>#VALUE!</v>
      </c>
      <c r="D103" s="11" t="s">
        <v>55</v>
      </c>
      <c r="E103" s="11" t="s">
        <v>119</v>
      </c>
      <c r="F103" s="13" cm="1">
        <f t="array" aca="1" ref="F103" ca="1">_FV(C103,"Price",TRUE)</f>
        <v>89.29</v>
      </c>
      <c r="G103" s="13">
        <v>55</v>
      </c>
      <c r="H103" s="13">
        <v>74</v>
      </c>
      <c r="I103" s="13">
        <v>103</v>
      </c>
      <c r="J103" s="13">
        <v>129</v>
      </c>
      <c r="K103" s="13">
        <v>135</v>
      </c>
      <c r="L103" s="13">
        <v>171</v>
      </c>
      <c r="M103" s="13">
        <v>218</v>
      </c>
      <c r="N103" s="11" t="str">
        <f t="shared" ca="1" si="7"/>
        <v>Fair Value / Hold</v>
      </c>
      <c r="O103" s="11">
        <f t="shared" ca="1" si="8"/>
        <v>91.5</v>
      </c>
      <c r="P103" s="14" t="s">
        <v>298</v>
      </c>
    </row>
    <row r="104" spans="1:16" ht="22" customHeight="1" x14ac:dyDescent="0.2">
      <c r="A104" s="15">
        <v>102</v>
      </c>
      <c r="B104" s="16" t="s">
        <v>299</v>
      </c>
      <c r="C104" s="15" t="e" vm="102">
        <v>#VALUE!</v>
      </c>
      <c r="D104" s="15" t="s">
        <v>55</v>
      </c>
      <c r="E104" s="15" t="s">
        <v>300</v>
      </c>
      <c r="F104" s="13" cm="1">
        <f t="array" aca="1" ref="F104" ca="1">_FV(C104,"Price",TRUE)</f>
        <v>401.85</v>
      </c>
      <c r="G104" s="17">
        <v>242</v>
      </c>
      <c r="H104" s="17">
        <v>314</v>
      </c>
      <c r="I104" s="17">
        <v>386</v>
      </c>
      <c r="J104" s="17">
        <v>483</v>
      </c>
      <c r="K104" s="17">
        <v>457</v>
      </c>
      <c r="L104" s="17">
        <v>531</v>
      </c>
      <c r="M104" s="17">
        <v>700</v>
      </c>
      <c r="N104" s="15" t="str">
        <f t="shared" ca="1" si="7"/>
        <v>Fully Valued / Trim</v>
      </c>
      <c r="O104" s="15">
        <f t="shared" ca="1" si="8"/>
        <v>32.1</v>
      </c>
      <c r="P104" s="18" t="s">
        <v>301</v>
      </c>
    </row>
    <row r="105" spans="1:16" ht="22" customHeight="1" x14ac:dyDescent="0.2">
      <c r="A105" s="11">
        <v>103</v>
      </c>
      <c r="B105" s="12" t="s">
        <v>302</v>
      </c>
      <c r="C105" s="11" t="e" vm="103">
        <v>#VALUE!</v>
      </c>
      <c r="D105" s="11" t="s">
        <v>55</v>
      </c>
      <c r="E105" s="11" t="s">
        <v>136</v>
      </c>
      <c r="F105" s="13" cm="1">
        <f t="array" aca="1" ref="F105" ca="1">_FV(C105,"Price",TRUE)</f>
        <v>437.05</v>
      </c>
      <c r="G105" s="13">
        <v>145</v>
      </c>
      <c r="H105" s="13">
        <v>243</v>
      </c>
      <c r="I105" s="13">
        <v>340</v>
      </c>
      <c r="J105" s="13">
        <v>437</v>
      </c>
      <c r="K105" s="13">
        <v>625</v>
      </c>
      <c r="L105" s="13">
        <v>812</v>
      </c>
      <c r="M105" s="13">
        <v>980</v>
      </c>
      <c r="N105" s="11" t="str">
        <f t="shared" ca="1" si="7"/>
        <v>Overvalued / Sell</v>
      </c>
      <c r="O105" s="11">
        <f t="shared" ca="1" si="8"/>
        <v>85.8</v>
      </c>
      <c r="P105" s="14" t="s">
        <v>303</v>
      </c>
    </row>
    <row r="106" spans="1:16" ht="22" customHeight="1" x14ac:dyDescent="0.2">
      <c r="A106" s="15">
        <v>104</v>
      </c>
      <c r="B106" s="16" t="s">
        <v>304</v>
      </c>
      <c r="C106" s="15" t="e" vm="104">
        <v>#VALUE!</v>
      </c>
      <c r="D106" s="15" t="s">
        <v>55</v>
      </c>
      <c r="E106" s="15" t="s">
        <v>258</v>
      </c>
      <c r="F106" s="13" cm="1">
        <f t="array" aca="1" ref="F106" ca="1">_FV(C106,"Price",TRUE)</f>
        <v>37665</v>
      </c>
      <c r="G106" s="17">
        <v>18930</v>
      </c>
      <c r="H106" s="17">
        <v>25240</v>
      </c>
      <c r="I106" s="17">
        <v>35336</v>
      </c>
      <c r="J106" s="17">
        <v>44170</v>
      </c>
      <c r="K106" s="17">
        <v>13422</v>
      </c>
      <c r="L106" s="17">
        <v>17557</v>
      </c>
      <c r="M106" s="17">
        <v>21267</v>
      </c>
      <c r="N106" s="15" t="str">
        <f t="shared" ca="1" si="7"/>
        <v>Fully Valued / Trim</v>
      </c>
      <c r="O106" s="15">
        <f t="shared" ca="1" si="8"/>
        <v>-53.4</v>
      </c>
      <c r="P106" s="18" t="s">
        <v>305</v>
      </c>
    </row>
    <row r="107" spans="1:16" ht="22" customHeight="1" x14ac:dyDescent="0.2">
      <c r="A107" s="11">
        <v>105</v>
      </c>
      <c r="B107" s="12" t="s">
        <v>306</v>
      </c>
      <c r="C107" s="11" t="e" vm="105">
        <v>#VALUE!</v>
      </c>
      <c r="D107" s="11" t="s">
        <v>55</v>
      </c>
      <c r="E107" s="11" t="s">
        <v>307</v>
      </c>
      <c r="F107" s="13" cm="1">
        <f t="array" aca="1" ref="F107" ca="1">_FV(C107,"Price",TRUE)</f>
        <v>756.65</v>
      </c>
      <c r="G107" s="13">
        <v>250</v>
      </c>
      <c r="H107" s="13">
        <v>370</v>
      </c>
      <c r="I107" s="13">
        <v>500</v>
      </c>
      <c r="J107" s="13">
        <v>900</v>
      </c>
      <c r="K107" s="13">
        <v>555</v>
      </c>
      <c r="L107" s="13">
        <v>748</v>
      </c>
      <c r="M107" s="13">
        <v>1010</v>
      </c>
      <c r="N107" s="11" t="str">
        <f t="shared" ca="1" si="7"/>
        <v>Fully Valued / Trim</v>
      </c>
      <c r="O107" s="11">
        <f t="shared" ca="1" si="8"/>
        <v>-1.1000000000000001</v>
      </c>
      <c r="P107" s="14" t="s">
        <v>308</v>
      </c>
    </row>
    <row r="108" spans="1:16" ht="22" customHeight="1" x14ac:dyDescent="0.2">
      <c r="A108" s="15">
        <v>106</v>
      </c>
      <c r="B108" s="16" t="s">
        <v>309</v>
      </c>
      <c r="C108" s="15" t="e" vm="106">
        <v>#VALUE!</v>
      </c>
      <c r="D108" s="15" t="s">
        <v>55</v>
      </c>
      <c r="E108" s="15" t="s">
        <v>112</v>
      </c>
      <c r="F108" s="13" cm="1">
        <f t="array" aca="1" ref="F108" ca="1">_FV(C108,"Price",TRUE)</f>
        <v>1391.9</v>
      </c>
      <c r="G108" s="17">
        <v>559</v>
      </c>
      <c r="H108" s="17">
        <v>782</v>
      </c>
      <c r="I108" s="17">
        <v>1118</v>
      </c>
      <c r="J108" s="17">
        <v>1453</v>
      </c>
      <c r="K108" s="17">
        <v>470</v>
      </c>
      <c r="L108" s="17">
        <v>565</v>
      </c>
      <c r="M108" s="17">
        <v>751</v>
      </c>
      <c r="N108" s="15" t="str">
        <f t="shared" ca="1" si="7"/>
        <v>Fully Valued / Trim</v>
      </c>
      <c r="O108" s="15">
        <f t="shared" ca="1" si="8"/>
        <v>-59.4</v>
      </c>
      <c r="P108" s="18" t="s">
        <v>310</v>
      </c>
    </row>
    <row r="109" spans="1:16" ht="22" customHeight="1" x14ac:dyDescent="0.2">
      <c r="A109" s="11">
        <v>107</v>
      </c>
      <c r="B109" s="12" t="s">
        <v>311</v>
      </c>
      <c r="C109" s="11" t="e" vm="107">
        <v>#VALUE!</v>
      </c>
      <c r="D109" s="11" t="s">
        <v>55</v>
      </c>
      <c r="E109" s="11" t="s">
        <v>312</v>
      </c>
      <c r="F109" s="13" cm="1">
        <f t="array" aca="1" ref="F109" ca="1">_FV(C109,"Price",TRUE)</f>
        <v>720.95</v>
      </c>
      <c r="G109" s="13">
        <v>350</v>
      </c>
      <c r="H109" s="13">
        <v>500</v>
      </c>
      <c r="I109" s="13">
        <v>700</v>
      </c>
      <c r="J109" s="13">
        <v>850</v>
      </c>
      <c r="K109" s="13">
        <v>648</v>
      </c>
      <c r="L109" s="13">
        <v>835</v>
      </c>
      <c r="M109" s="13">
        <v>1001</v>
      </c>
      <c r="N109" s="11" t="s">
        <v>116</v>
      </c>
      <c r="O109" s="11">
        <f t="shared" ca="1" si="8"/>
        <v>15.8</v>
      </c>
      <c r="P109" s="14" t="s">
        <v>313</v>
      </c>
    </row>
    <row r="110" spans="1:16" ht="22" customHeight="1" x14ac:dyDescent="0.2">
      <c r="A110" s="15">
        <v>108</v>
      </c>
      <c r="B110" s="16" t="s">
        <v>314</v>
      </c>
      <c r="C110" s="15" t="e" vm="108">
        <v>#VALUE!</v>
      </c>
      <c r="D110" s="15" t="s">
        <v>55</v>
      </c>
      <c r="E110" s="15" t="s">
        <v>56</v>
      </c>
      <c r="F110" s="13" cm="1">
        <f t="array" aca="1" ref="F110" ca="1">_FV(C110,"Price",TRUE)</f>
        <v>437.3</v>
      </c>
      <c r="G110" s="17">
        <v>200</v>
      </c>
      <c r="H110" s="17">
        <v>275</v>
      </c>
      <c r="I110" s="17">
        <v>385</v>
      </c>
      <c r="J110" s="17">
        <v>550</v>
      </c>
      <c r="K110" s="17">
        <v>265</v>
      </c>
      <c r="L110" s="17">
        <v>371</v>
      </c>
      <c r="M110" s="17">
        <v>658</v>
      </c>
      <c r="N110" s="15" t="str">
        <f ca="1">IF(F110="","Enter Price",IF(F110&lt;=G110,"Deep Value / Strong Buy",IF(F110&lt;=H110,"Value / Buy",IF(F110&lt;=I110,"Fair Value / Hold",IF(F110&lt;=J110,"Fully Valued / Trim","Overvalued / Sell")))))</f>
        <v>Fully Valued / Trim</v>
      </c>
      <c r="O110" s="15">
        <f t="shared" ca="1" si="8"/>
        <v>-15.2</v>
      </c>
      <c r="P110" s="18" t="s">
        <v>315</v>
      </c>
    </row>
    <row r="111" spans="1:16" ht="22" customHeight="1" x14ac:dyDescent="0.2">
      <c r="A111" s="11">
        <v>109</v>
      </c>
      <c r="B111" s="12" t="s">
        <v>316</v>
      </c>
      <c r="C111" s="11" t="e" vm="109">
        <v>#VALUE!</v>
      </c>
      <c r="D111" s="11" t="s">
        <v>55</v>
      </c>
      <c r="E111" s="11" t="s">
        <v>195</v>
      </c>
      <c r="F111" s="13" cm="1">
        <f t="array" aca="1" ref="F111" ca="1">_FV(C111,"Price",TRUE)</f>
        <v>860.05</v>
      </c>
      <c r="G111" s="13">
        <v>550</v>
      </c>
      <c r="H111" s="13">
        <v>670</v>
      </c>
      <c r="I111" s="13">
        <v>850</v>
      </c>
      <c r="J111" s="13">
        <v>1065</v>
      </c>
      <c r="K111" s="13">
        <v>1005</v>
      </c>
      <c r="L111" s="13">
        <v>1207</v>
      </c>
      <c r="M111" s="13">
        <v>1646</v>
      </c>
      <c r="N111" s="11" t="str">
        <f ca="1">IF(F111="","Enter Price",IF(F111&lt;=G111,"Deep Value / Strong Buy",IF(F111&lt;=H111,"Value / Buy",IF(F111&lt;=I111,"Fair Value / Hold",IF(F111&lt;=J111,"Fully Valued / Trim","Overvalued / Sell")))))</f>
        <v>Fully Valued / Trim</v>
      </c>
      <c r="O111" s="11">
        <f t="shared" ca="1" si="8"/>
        <v>40.299999999999997</v>
      </c>
      <c r="P111" s="14" t="s">
        <v>317</v>
      </c>
    </row>
    <row r="112" spans="1:16" ht="22" customHeight="1" x14ac:dyDescent="0.2">
      <c r="A112" s="15">
        <v>110</v>
      </c>
      <c r="B112" s="16" t="s">
        <v>318</v>
      </c>
      <c r="C112" s="15" t="e" vm="110">
        <v>#VALUE!</v>
      </c>
      <c r="D112" s="15" t="s">
        <v>55</v>
      </c>
      <c r="E112" s="15" t="s">
        <v>319</v>
      </c>
      <c r="F112" s="13" cm="1">
        <f t="array" aca="1" ref="F112" ca="1">_FV(C112,"Price",TRUE)</f>
        <v>197.15</v>
      </c>
      <c r="G112" s="17">
        <v>100</v>
      </c>
      <c r="H112" s="17">
        <v>130</v>
      </c>
      <c r="I112" s="17">
        <v>160</v>
      </c>
      <c r="J112" s="17">
        <v>195</v>
      </c>
      <c r="K112" s="17">
        <v>114</v>
      </c>
      <c r="L112" s="17">
        <v>156</v>
      </c>
      <c r="M112" s="17">
        <v>190</v>
      </c>
      <c r="N112" s="15" t="str">
        <f ca="1">IF(F112="","Enter Price",IF(F112&lt;=G112,"Deep Value / Strong Buy",IF(F112&lt;=H112,"Value / Buy",IF(F112&lt;=I112,"Fair Value / Hold",IF(F112&lt;=J112,"Fully Valued / Trim","Overvalued / Sell")))))</f>
        <v>Overvalued / Sell</v>
      </c>
      <c r="O112" s="15">
        <f t="shared" ca="1" si="8"/>
        <v>-20.9</v>
      </c>
      <c r="P112" s="18" t="s">
        <v>320</v>
      </c>
    </row>
    <row r="113" spans="1:16" ht="22" customHeight="1" x14ac:dyDescent="0.2">
      <c r="A113" s="11">
        <v>111</v>
      </c>
      <c r="B113" s="12" t="s">
        <v>321</v>
      </c>
      <c r="C113" s="11" t="e" vm="111">
        <v>#VALUE!</v>
      </c>
      <c r="D113" s="11" t="s">
        <v>55</v>
      </c>
      <c r="E113" s="11" t="s">
        <v>322</v>
      </c>
      <c r="F113" s="13" cm="1">
        <f t="array" aca="1" ref="F113" ca="1">_FV(C113,"Price",TRUE)</f>
        <v>50.1</v>
      </c>
      <c r="G113" s="13">
        <v>7</v>
      </c>
      <c r="H113" s="13">
        <v>17</v>
      </c>
      <c r="I113" s="13">
        <v>25</v>
      </c>
      <c r="J113" s="13">
        <v>35</v>
      </c>
      <c r="K113" s="13">
        <v>0</v>
      </c>
      <c r="L113" s="13">
        <v>0</v>
      </c>
      <c r="M113" s="13">
        <v>7</v>
      </c>
      <c r="N113" s="11" t="s">
        <v>116</v>
      </c>
      <c r="O113" s="11">
        <f t="shared" ca="1" si="8"/>
        <v>-100</v>
      </c>
      <c r="P113" s="14" t="s">
        <v>323</v>
      </c>
    </row>
    <row r="114" spans="1:16" ht="22" customHeight="1" x14ac:dyDescent="0.2">
      <c r="A114" s="15">
        <v>112</v>
      </c>
      <c r="B114" s="16" t="s">
        <v>324</v>
      </c>
      <c r="C114" s="15" t="e" vm="112">
        <v>#VALUE!</v>
      </c>
      <c r="D114" s="15" t="s">
        <v>55</v>
      </c>
      <c r="E114" s="15" t="s">
        <v>94</v>
      </c>
      <c r="F114" s="13" cm="1">
        <f t="array" aca="1" ref="F114" ca="1">_FV(C114,"Price",TRUE)</f>
        <v>460.4</v>
      </c>
      <c r="G114" s="17">
        <v>240</v>
      </c>
      <c r="H114" s="17">
        <v>335</v>
      </c>
      <c r="I114" s="17">
        <v>425</v>
      </c>
      <c r="J114" s="17">
        <v>525</v>
      </c>
      <c r="K114" s="17">
        <v>204</v>
      </c>
      <c r="L114" s="17">
        <v>304</v>
      </c>
      <c r="M114" s="17">
        <v>393</v>
      </c>
      <c r="N114" s="15" t="str">
        <f ca="1">IF(F114="","Enter Price",IF(F114&lt;=G114,"Deep Value / Strong Buy",IF(F114&lt;=H114,"Value / Buy",IF(F114&lt;=I114,"Fair Value / Hold",IF(F114&lt;=J114,"Fully Valued / Trim","Overvalued / Sell")))))</f>
        <v>Fully Valued / Trim</v>
      </c>
      <c r="O114" s="15">
        <f t="shared" ca="1" si="8"/>
        <v>-34</v>
      </c>
      <c r="P114" s="18" t="s">
        <v>325</v>
      </c>
    </row>
  </sheetData>
  <autoFilter ref="A2:P114" xr:uid="{00000000-0009-0000-0000-000001000000}"/>
  <mergeCells count="1">
    <mergeCell ref="A1:P1"/>
  </mergeCells>
  <conditionalFormatting sqref="A3:P114">
    <cfRule type="expression" dxfId="5" priority="1">
      <formula>$N3="Deep Value / Strong Buy"</formula>
    </cfRule>
    <cfRule type="expression" dxfId="4" priority="2">
      <formula>$N3="Value / Buy"</formula>
    </cfRule>
    <cfRule type="expression" dxfId="3" priority="3">
      <formula>$N3="Fair Value / Hold"</formula>
    </cfRule>
    <cfRule type="expression" dxfId="2" priority="4">
      <formula>$N3="Fully Valued / Trim"</formula>
    </cfRule>
    <cfRule type="expression" dxfId="1" priority="5">
      <formula>$N3="Overvalued / Sell"</formula>
    </cfRule>
    <cfRule type="expression" dxfId="0" priority="6">
      <formula>$N3="Weak Business"</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400"/>
  </sheetPr>
  <dimension ref="A1:O4"/>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28" t="s">
        <v>326</v>
      </c>
      <c r="B1" s="28"/>
      <c r="C1" s="28"/>
      <c r="D1" s="28"/>
      <c r="E1" s="28"/>
      <c r="F1" s="28"/>
      <c r="G1" s="28"/>
      <c r="H1" s="28"/>
      <c r="I1" s="28"/>
      <c r="J1" s="28"/>
      <c r="K1" s="28"/>
      <c r="L1" s="28"/>
      <c r="M1" s="28"/>
      <c r="N1" s="28"/>
      <c r="O1" s="28"/>
    </row>
    <row r="2" spans="1:15" x14ac:dyDescent="0.2">
      <c r="A2" s="29" t="s">
        <v>327</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328</v>
      </c>
      <c r="G3" s="10" t="s">
        <v>329</v>
      </c>
      <c r="H3" s="10" t="s">
        <v>330</v>
      </c>
      <c r="I3" s="10" t="s">
        <v>331</v>
      </c>
      <c r="J3" s="10" t="s">
        <v>332</v>
      </c>
      <c r="K3" s="10" t="s">
        <v>333</v>
      </c>
      <c r="L3" s="10" t="s">
        <v>334</v>
      </c>
      <c r="M3" s="10" t="s">
        <v>47</v>
      </c>
      <c r="N3" s="10" t="s">
        <v>335</v>
      </c>
      <c r="O3" s="10" t="s">
        <v>49</v>
      </c>
    </row>
    <row r="4" spans="1:15" x14ac:dyDescent="0.2">
      <c r="A4" t="str" cm="1">
        <f t="array" aca="1" ref="A4:O4" ca="1">_xlfn._xlws.FILTER('All Companies'!B3:P114,'All Companies'!N3:N114="Deep Value / Strong Buy","No companies in this zone currently - enter prices in All Companies sheet")</f>
        <v>PayPal</v>
      </c>
      <c r="B4" t="e" vm="89">
        <f ca="1"/>
        <v>#VALUE!</v>
      </c>
      <c r="C4" t="str">
        <f ca="1"/>
        <v>NASDAQ</v>
      </c>
      <c r="D4" t="str">
        <f ca="1"/>
        <v>6.5/10</v>
      </c>
      <c r="E4">
        <f ca="1"/>
        <v>49.75</v>
      </c>
      <c r="F4">
        <f ca="1"/>
        <v>54</v>
      </c>
      <c r="G4">
        <f ca="1"/>
        <v>81</v>
      </c>
      <c r="H4">
        <f ca="1"/>
        <v>119</v>
      </c>
      <c r="I4">
        <f ca="1"/>
        <v>162</v>
      </c>
      <c r="J4">
        <f ca="1"/>
        <v>104</v>
      </c>
      <c r="K4">
        <f ca="1"/>
        <v>131</v>
      </c>
      <c r="L4">
        <f ca="1"/>
        <v>165</v>
      </c>
      <c r="M4" t="str">
        <f ca="1"/>
        <v>Deep Value / Strong Buy</v>
      </c>
      <c r="N4">
        <f ca="1"/>
        <v>163.30000000000001</v>
      </c>
      <c r="O4" t="str">
        <f ca="1"/>
        <v>Deep value at 9.4x PE; 25.8% ROIC, $5.6B FCF. Narrowing moat, mgmt instability</v>
      </c>
    </row>
  </sheetData>
  <mergeCells count="2">
    <mergeCell ref="A1:O1"/>
    <mergeCell ref="A2:O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28B22"/>
  </sheetPr>
  <dimension ref="A1:O13"/>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0" t="s">
        <v>336</v>
      </c>
      <c r="B1" s="30"/>
      <c r="C1" s="30"/>
      <c r="D1" s="30"/>
      <c r="E1" s="30"/>
      <c r="F1" s="30"/>
      <c r="G1" s="30"/>
      <c r="H1" s="30"/>
      <c r="I1" s="30"/>
      <c r="J1" s="30"/>
      <c r="K1" s="30"/>
      <c r="L1" s="30"/>
      <c r="M1" s="30"/>
      <c r="N1" s="30"/>
      <c r="O1" s="30"/>
    </row>
    <row r="2" spans="1:15" x14ac:dyDescent="0.2">
      <c r="A2" s="29" t="s">
        <v>337</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328</v>
      </c>
      <c r="G3" s="10" t="s">
        <v>329</v>
      </c>
      <c r="H3" s="10" t="s">
        <v>330</v>
      </c>
      <c r="I3" s="10" t="s">
        <v>331</v>
      </c>
      <c r="J3" s="10" t="s">
        <v>332</v>
      </c>
      <c r="K3" s="10" t="s">
        <v>333</v>
      </c>
      <c r="L3" s="10" t="s">
        <v>334</v>
      </c>
      <c r="M3" s="10" t="s">
        <v>47</v>
      </c>
      <c r="N3" s="10" t="s">
        <v>335</v>
      </c>
      <c r="O3" s="10" t="s">
        <v>49</v>
      </c>
    </row>
    <row r="4" spans="1:15" x14ac:dyDescent="0.2">
      <c r="A4" t="str" cm="1">
        <f t="array" aca="1" ref="A4:O13" ca="1">_xlfn._xlws.FILTER('All Companies'!B3:P114,'All Companies'!N3:N114="Value / Buy","No companies in this zone currently - enter prices in All Companies sheet")</f>
        <v>Adcounty Media India</v>
      </c>
      <c r="B4" t="e" vm="1">
        <f ca="1"/>
        <v>#VALUE!</v>
      </c>
      <c r="C4" t="str">
        <f ca="1"/>
        <v>BSE</v>
      </c>
      <c r="D4" t="str">
        <f ca="1"/>
        <v>6.3/10</v>
      </c>
      <c r="E4">
        <f ca="1"/>
        <v>133.5</v>
      </c>
      <c r="F4">
        <f ca="1"/>
        <v>100</v>
      </c>
      <c r="G4">
        <f ca="1"/>
        <v>150</v>
      </c>
      <c r="H4">
        <f ca="1"/>
        <v>250</v>
      </c>
      <c r="I4">
        <f ca="1"/>
        <v>308</v>
      </c>
      <c r="J4">
        <f ca="1"/>
        <v>193</v>
      </c>
      <c r="K4">
        <f ca="1"/>
        <v>308</v>
      </c>
      <c r="L4">
        <f ca="1"/>
        <v>400</v>
      </c>
      <c r="M4" t="str">
        <f ca="1"/>
        <v>Value / Buy</v>
      </c>
      <c r="N4">
        <f ca="1"/>
        <v>130.69999999999999</v>
      </c>
      <c r="O4" t="str">
        <f ca="1"/>
        <v>Asset-light AdTech; 30%+ revenue CAGR. RISK: debtor days 69-161, weak moat</v>
      </c>
    </row>
    <row r="5" spans="1:15" x14ac:dyDescent="0.2">
      <c r="A5" t="str">
        <f ca="1"/>
        <v>Arrow Greentech</v>
      </c>
      <c r="B5" t="e" vm="6">
        <f ca="1"/>
        <v>#VALUE!</v>
      </c>
      <c r="C5" t="str">
        <f ca="1"/>
        <v>NSE</v>
      </c>
      <c r="D5" t="str">
        <f ca="1"/>
        <v>6.9/10</v>
      </c>
      <c r="E5">
        <f ca="1"/>
        <v>526.20000000000005</v>
      </c>
      <c r="F5">
        <f ca="1"/>
        <v>400</v>
      </c>
      <c r="G5">
        <f ca="1"/>
        <v>600</v>
      </c>
      <c r="H5">
        <f ca="1"/>
        <v>839</v>
      </c>
      <c r="I5">
        <f ca="1"/>
        <v>1200</v>
      </c>
      <c r="J5">
        <f ca="1"/>
        <v>839</v>
      </c>
      <c r="K5">
        <f ca="1"/>
        <v>1563</v>
      </c>
      <c r="L5">
        <f ca="1"/>
        <v>2000</v>
      </c>
      <c r="M5" t="str">
        <f ca="1"/>
        <v>Value / Buy</v>
      </c>
      <c r="N5">
        <f ca="1"/>
        <v>197</v>
      </c>
      <c r="O5" t="str">
        <f ca="1"/>
        <v>India's largest water-soluble film maker; 50%+ ROIC, zero debt. Volatile earnings</v>
      </c>
    </row>
    <row r="6" spans="1:15" x14ac:dyDescent="0.2">
      <c r="A6" t="str">
        <f ca="1"/>
        <v>Bank of India</v>
      </c>
      <c r="B6" t="e" vm="12">
        <f ca="1"/>
        <v>#VALUE!</v>
      </c>
      <c r="C6" t="str">
        <f ca="1"/>
        <v>NSE</v>
      </c>
      <c r="D6" t="str">
        <f ca="1"/>
        <v>5.7/10</v>
      </c>
      <c r="E6">
        <f ca="1"/>
        <v>147.44</v>
      </c>
      <c r="F6">
        <f ca="1"/>
        <v>120</v>
      </c>
      <c r="G6">
        <f ca="1"/>
        <v>150</v>
      </c>
      <c r="H6">
        <f ca="1"/>
        <v>185</v>
      </c>
      <c r="I6">
        <f ca="1"/>
        <v>220</v>
      </c>
      <c r="J6">
        <f ca="1"/>
        <v>150</v>
      </c>
      <c r="K6">
        <f ca="1"/>
        <v>185</v>
      </c>
      <c r="L6">
        <f ca="1"/>
        <v>230</v>
      </c>
      <c r="M6" t="str">
        <f ca="1"/>
        <v>Value / Buy</v>
      </c>
      <c r="N6">
        <f ca="1"/>
        <v>25.5</v>
      </c>
      <c r="O6" t="str">
        <f ca="1"/>
        <v>Fair company at fair price; ROA &lt;1%, NIM compressing. PSB constraints</v>
      </c>
    </row>
    <row r="7" spans="1:15" x14ac:dyDescent="0.2">
      <c r="A7" t="str">
        <f ca="1"/>
        <v>Energy Infrastructure Trust</v>
      </c>
      <c r="B7" t="e" vm="26">
        <f ca="1"/>
        <v>#VALUE!</v>
      </c>
      <c r="C7" t="str">
        <f ca="1"/>
        <v>BSE</v>
      </c>
      <c r="D7" t="str">
        <f ca="1"/>
        <v>8.2/10</v>
      </c>
      <c r="E7">
        <f ca="1"/>
        <v>76.989999999999995</v>
      </c>
      <c r="F7">
        <f ca="1"/>
        <v>70</v>
      </c>
      <c r="G7">
        <f ca="1"/>
        <v>90</v>
      </c>
      <c r="H7">
        <f ca="1"/>
        <v>110</v>
      </c>
      <c r="I7">
        <f ca="1"/>
        <v>130</v>
      </c>
      <c r="J7">
        <f ca="1"/>
        <v>99</v>
      </c>
      <c r="K7">
        <f ca="1"/>
        <v>130</v>
      </c>
      <c r="L7">
        <f ca="1"/>
        <v>160</v>
      </c>
      <c r="M7" t="str">
        <f ca="1"/>
        <v>Value / Buy</v>
      </c>
      <c r="N7">
        <f ca="1"/>
        <v>68.900000000000006</v>
      </c>
      <c r="O7" t="str">
        <f ca="1"/>
        <v>AAA-rated monopoly gas pipeline; 18.7% distribution yield. Illiquidity risk</v>
      </c>
    </row>
    <row r="8" spans="1:15" x14ac:dyDescent="0.2">
      <c r="A8" t="str">
        <f ca="1"/>
        <v>Infosys</v>
      </c>
      <c r="B8" t="e" vm="41">
        <f ca="1"/>
        <v>#VALUE!</v>
      </c>
      <c r="C8" t="str">
        <f ca="1"/>
        <v>NSE</v>
      </c>
      <c r="D8" t="str">
        <f ca="1"/>
        <v>7.4/10</v>
      </c>
      <c r="E8">
        <f ca="1"/>
        <v>1154.5999999999999</v>
      </c>
      <c r="F8">
        <f ca="1"/>
        <v>1026</v>
      </c>
      <c r="G8">
        <f ca="1"/>
        <v>1256</v>
      </c>
      <c r="H8">
        <f ca="1"/>
        <v>1500</v>
      </c>
      <c r="I8">
        <f ca="1"/>
        <v>1729</v>
      </c>
      <c r="J8">
        <f ca="1"/>
        <v>1026</v>
      </c>
      <c r="K8">
        <f ca="1"/>
        <v>1729</v>
      </c>
      <c r="L8">
        <f ca="1"/>
        <v>2000</v>
      </c>
      <c r="M8" t="str">
        <f ca="1"/>
        <v>Value / Buy</v>
      </c>
      <c r="N8">
        <f ca="1"/>
        <v>49.7</v>
      </c>
      <c r="O8" t="str">
        <f ca="1"/>
        <v>Record cash flows; strong client relationships. AI threatens labour-arbitrage moat</v>
      </c>
    </row>
    <row r="9" spans="1:15" x14ac:dyDescent="0.2">
      <c r="A9" t="str">
        <f ca="1"/>
        <v>Kamdhenu</v>
      </c>
      <c r="B9" t="e" vm="47">
        <f ca="1"/>
        <v>#VALUE!</v>
      </c>
      <c r="C9" t="str">
        <f ca="1"/>
        <v>NSE</v>
      </c>
      <c r="D9" t="str">
        <f ca="1"/>
        <v>7.6/10</v>
      </c>
      <c r="E9">
        <f ca="1"/>
        <v>21.84</v>
      </c>
      <c r="F9">
        <f ca="1"/>
        <v>16.8</v>
      </c>
      <c r="G9">
        <f ca="1"/>
        <v>25.8</v>
      </c>
      <c r="H9">
        <f ca="1"/>
        <v>38.700000000000003</v>
      </c>
      <c r="I9">
        <f ca="1"/>
        <v>51.6</v>
      </c>
      <c r="J9">
        <f ca="1"/>
        <v>24.1</v>
      </c>
      <c r="K9">
        <f ca="1"/>
        <v>31.7</v>
      </c>
      <c r="L9">
        <f ca="1"/>
        <v>41.3</v>
      </c>
      <c r="M9" t="str">
        <f ca="1"/>
        <v>Value / Buy</v>
      </c>
      <c r="N9">
        <f ca="1"/>
        <v>45.1</v>
      </c>
      <c r="O9" t="str">
        <f ca="1"/>
        <v>Asset-light franchise model; high ROCE, brand royalty revenue stream</v>
      </c>
    </row>
    <row r="10" spans="1:15" x14ac:dyDescent="0.2">
      <c r="A10" t="str">
        <f ca="1"/>
        <v>Mahalaxmi Rubtech</v>
      </c>
      <c r="B10" t="e" vm="52">
        <f ca="1"/>
        <v>#VALUE!</v>
      </c>
      <c r="C10" t="str">
        <f ca="1"/>
        <v>NSE</v>
      </c>
      <c r="D10" t="str">
        <f ca="1"/>
        <v>7.9/10</v>
      </c>
      <c r="E10">
        <f ca="1"/>
        <v>175.81</v>
      </c>
      <c r="F10">
        <f ca="1"/>
        <v>112</v>
      </c>
      <c r="G10">
        <f ca="1"/>
        <v>186</v>
      </c>
      <c r="H10">
        <f ca="1"/>
        <v>298</v>
      </c>
      <c r="I10">
        <f ca="1"/>
        <v>330</v>
      </c>
      <c r="J10">
        <f ca="1"/>
        <v>251</v>
      </c>
      <c r="K10">
        <f ca="1"/>
        <v>440</v>
      </c>
      <c r="L10">
        <f ca="1"/>
        <v>600</v>
      </c>
      <c r="M10" t="str">
        <f ca="1"/>
        <v>Value / Buy</v>
      </c>
      <c r="N10">
        <f ca="1"/>
        <v>150.30000000000001</v>
      </c>
      <c r="O10" t="str">
        <f ca="1"/>
        <v>Niche rubber products; high margins, strong ROCE, undiscovered micro-cap</v>
      </c>
    </row>
    <row r="11" spans="1:15" x14ac:dyDescent="0.2">
      <c r="A11" t="str">
        <f ca="1"/>
        <v>Systango Technologies</v>
      </c>
      <c r="B11" t="e" vm="73">
        <f ca="1"/>
        <v>#VALUE!</v>
      </c>
      <c r="C11" t="str">
        <f ca="1"/>
        <v>NSE</v>
      </c>
      <c r="D11" t="str">
        <f ca="1"/>
        <v>6.7/10</v>
      </c>
      <c r="E11">
        <f ca="1"/>
        <v>270</v>
      </c>
      <c r="F11">
        <f ca="1"/>
        <v>200</v>
      </c>
      <c r="G11">
        <f ca="1"/>
        <v>275</v>
      </c>
      <c r="H11">
        <f ca="1"/>
        <v>400</v>
      </c>
      <c r="I11">
        <f ca="1"/>
        <v>550</v>
      </c>
      <c r="J11">
        <f ca="1"/>
        <v>519</v>
      </c>
      <c r="K11">
        <f ca="1"/>
        <v>1043</v>
      </c>
      <c r="L11">
        <f ca="1"/>
        <v>1703</v>
      </c>
      <c r="M11" t="str">
        <f ca="1"/>
        <v>Value / Buy</v>
      </c>
      <c r="N11">
        <f ca="1"/>
        <v>286.3</v>
      </c>
      <c r="O11" t="str">
        <f ca="1"/>
        <v>Micro-cap IT; 36% margins, zero debt, 54% profit CAGR. Client concentration risk</v>
      </c>
    </row>
    <row r="12" spans="1:15" x14ac:dyDescent="0.2">
      <c r="A12" t="str">
        <f ca="1"/>
        <v>Tanfac Industries</v>
      </c>
      <c r="B12" t="e" vm="74">
        <f ca="1"/>
        <v>#VALUE!</v>
      </c>
      <c r="C12" t="str">
        <f ca="1"/>
        <v>NSE</v>
      </c>
      <c r="D12" t="str">
        <f ca="1"/>
        <v>8/10</v>
      </c>
      <c r="E12">
        <f ca="1"/>
        <v>2500</v>
      </c>
      <c r="F12">
        <f ca="1"/>
        <v>1705</v>
      </c>
      <c r="G12">
        <f ca="1"/>
        <v>2728</v>
      </c>
      <c r="H12">
        <f ca="1"/>
        <v>4092</v>
      </c>
      <c r="I12">
        <f ca="1"/>
        <v>5456</v>
      </c>
      <c r="J12">
        <f ca="1"/>
        <v>1887</v>
      </c>
      <c r="K12">
        <f ca="1"/>
        <v>3322</v>
      </c>
      <c r="L12">
        <f ca="1"/>
        <v>6228</v>
      </c>
      <c r="M12" t="str">
        <f ca="1"/>
        <v>Value / Buy</v>
      </c>
      <c r="N12">
        <f ca="1"/>
        <v>32.9</v>
      </c>
      <c r="O12" t="str">
        <f ca="1"/>
        <v>India's largest fluorine chemicals; 45% ROCE, regulatory moat, near-zero debt</v>
      </c>
    </row>
    <row r="13" spans="1:15" x14ac:dyDescent="0.2">
      <c r="A13" t="str">
        <f ca="1"/>
        <v>Tata Motors</v>
      </c>
      <c r="B13" t="e" vm="75">
        <f ca="1"/>
        <v>#VALUE!</v>
      </c>
      <c r="C13" t="str">
        <f ca="1"/>
        <v>NSE</v>
      </c>
      <c r="D13" t="str">
        <f ca="1"/>
        <v>6/10</v>
      </c>
      <c r="E13">
        <f ca="1"/>
        <v>350.5</v>
      </c>
      <c r="F13">
        <f ca="1"/>
        <v>240</v>
      </c>
      <c r="G13">
        <f ca="1"/>
        <v>400</v>
      </c>
      <c r="H13">
        <f ca="1"/>
        <v>600</v>
      </c>
      <c r="I13">
        <f ca="1"/>
        <v>900</v>
      </c>
      <c r="J13">
        <f ca="1"/>
        <v>571</v>
      </c>
      <c r="K13">
        <f ca="1"/>
        <v>834</v>
      </c>
      <c r="L13">
        <f ca="1"/>
        <v>1168</v>
      </c>
      <c r="M13" t="str">
        <f ca="1"/>
        <v>Value / Buy</v>
      </c>
      <c r="N13">
        <f ca="1"/>
        <v>137.9</v>
      </c>
      <c r="O13" t="str">
        <f ca="1"/>
        <v>Deep value at 1.15x book; 87% EV dominance, India CV #1. JLR cyclically stressed</v>
      </c>
    </row>
  </sheetData>
  <mergeCells count="2">
    <mergeCell ref="A1:O1"/>
    <mergeCell ref="A2:O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AA520"/>
  </sheetPr>
  <dimension ref="A1:O45"/>
  <sheetViews>
    <sheetView workbookViewId="0">
      <pane ySplit="3" topLeftCell="A1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1" t="s">
        <v>338</v>
      </c>
      <c r="B1" s="31"/>
      <c r="C1" s="31"/>
      <c r="D1" s="31"/>
      <c r="E1" s="31"/>
      <c r="F1" s="31"/>
      <c r="G1" s="31"/>
      <c r="H1" s="31"/>
      <c r="I1" s="31"/>
      <c r="J1" s="31"/>
      <c r="K1" s="31"/>
      <c r="L1" s="31"/>
      <c r="M1" s="31"/>
      <c r="N1" s="31"/>
      <c r="O1" s="31"/>
    </row>
    <row r="2" spans="1:15" x14ac:dyDescent="0.2">
      <c r="A2" s="29" t="s">
        <v>339</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328</v>
      </c>
      <c r="G3" s="10" t="s">
        <v>329</v>
      </c>
      <c r="H3" s="10" t="s">
        <v>330</v>
      </c>
      <c r="I3" s="10" t="s">
        <v>331</v>
      </c>
      <c r="J3" s="10" t="s">
        <v>332</v>
      </c>
      <c r="K3" s="10" t="s">
        <v>333</v>
      </c>
      <c r="L3" s="10" t="s">
        <v>334</v>
      </c>
      <c r="M3" s="10" t="s">
        <v>47</v>
      </c>
      <c r="N3" s="10" t="s">
        <v>335</v>
      </c>
      <c r="O3" s="10" t="s">
        <v>49</v>
      </c>
    </row>
    <row r="4" spans="1:15" x14ac:dyDescent="0.2">
      <c r="A4" t="str" cm="1">
        <f t="array" aca="1" ref="A4:O45" ca="1">_xlfn._xlws.FILTER('All Companies'!B3:P114,'All Companies'!N3:N114="Fair Value / Hold","No companies in this zone currently - enter prices in All Companies sheet")</f>
        <v>Ambuja Cements</v>
      </c>
      <c r="B4" t="e" vm="3">
        <f ca="1"/>
        <v>#VALUE!</v>
      </c>
      <c r="C4" t="str">
        <f ca="1"/>
        <v>NSE</v>
      </c>
      <c r="D4" t="str">
        <f ca="1"/>
        <v>5.6/10</v>
      </c>
      <c r="E4">
        <f ca="1"/>
        <v>451.2</v>
      </c>
      <c r="F4">
        <f ca="1"/>
        <v>270</v>
      </c>
      <c r="G4">
        <f ca="1"/>
        <v>380</v>
      </c>
      <c r="H4">
        <f ca="1"/>
        <v>500</v>
      </c>
      <c r="I4">
        <f ca="1"/>
        <v>588</v>
      </c>
      <c r="J4">
        <f ca="1"/>
        <v>268</v>
      </c>
      <c r="K4">
        <f ca="1"/>
        <v>588</v>
      </c>
      <c r="L4">
        <f ca="1"/>
        <v>700</v>
      </c>
      <c r="M4" t="str">
        <f ca="1"/>
        <v>Fair Value / Hold</v>
      </c>
      <c r="N4">
        <f ca="1"/>
        <v>30.3</v>
      </c>
      <c r="O4" t="str">
        <f ca="1"/>
        <v>3rd largest cement; 100+ MTPA. Commodity business, Adani-backed</v>
      </c>
    </row>
    <row r="5" spans="1:15" x14ac:dyDescent="0.2">
      <c r="A5" t="str">
        <f ca="1"/>
        <v>Axis Bank</v>
      </c>
      <c r="B5" t="e" vm="9">
        <f ca="1"/>
        <v>#VALUE!</v>
      </c>
      <c r="C5" t="str">
        <f ca="1"/>
        <v>NSE</v>
      </c>
      <c r="D5" t="str">
        <f ca="1"/>
        <v>7.9/10</v>
      </c>
      <c r="E5">
        <f ca="1"/>
        <v>1365.9</v>
      </c>
      <c r="F5">
        <f ca="1"/>
        <v>900</v>
      </c>
      <c r="G5">
        <f ca="1"/>
        <v>1105</v>
      </c>
      <c r="H5">
        <f ca="1"/>
        <v>1430</v>
      </c>
      <c r="I5">
        <f ca="1"/>
        <v>1700</v>
      </c>
      <c r="J5">
        <f ca="1"/>
        <v>1100</v>
      </c>
      <c r="K5">
        <f ca="1"/>
        <v>1430</v>
      </c>
      <c r="L5">
        <f ca="1"/>
        <v>3537</v>
      </c>
      <c r="M5" t="str">
        <f ca="1"/>
        <v>Fair Value / Hold</v>
      </c>
      <c r="N5">
        <f ca="1"/>
        <v>4.7</v>
      </c>
      <c r="O5" t="str">
        <f ca="1"/>
        <v>True Buffett Bank; 16% ROE, #1 merchant acquiring (19.7% share)</v>
      </c>
    </row>
    <row r="6" spans="1:15" x14ac:dyDescent="0.2">
      <c r="A6" t="str">
        <f ca="1"/>
        <v>Bandhan Bank</v>
      </c>
      <c r="B6" t="e" vm="10">
        <f ca="1"/>
        <v>#VALUE!</v>
      </c>
      <c r="C6" t="str">
        <f ca="1"/>
        <v>NSE</v>
      </c>
      <c r="D6" t="str">
        <f ca="1"/>
        <v>5/10</v>
      </c>
      <c r="E6">
        <f ca="1"/>
        <v>174.67</v>
      </c>
      <c r="F6">
        <f ca="1"/>
        <v>103</v>
      </c>
      <c r="G6">
        <f ca="1"/>
        <v>150</v>
      </c>
      <c r="H6">
        <f ca="1"/>
        <v>183</v>
      </c>
      <c r="I6">
        <f ca="1"/>
        <v>230</v>
      </c>
      <c r="J6">
        <f ca="1"/>
        <v>103</v>
      </c>
      <c r="K6">
        <f ca="1"/>
        <v>183</v>
      </c>
      <c r="L6">
        <f ca="1"/>
        <v>289</v>
      </c>
      <c r="M6" t="str">
        <f ca="1"/>
        <v>Fair Value / Hold</v>
      </c>
      <c r="N6">
        <f ca="1"/>
        <v>4.8</v>
      </c>
      <c r="O6" t="str">
        <f ca="1"/>
        <v>Contrarian only; near book value. Weak moat, management transition</v>
      </c>
    </row>
    <row r="7" spans="1:15" x14ac:dyDescent="0.2">
      <c r="A7" t="str">
        <f ca="1"/>
        <v>Bank of Baroda</v>
      </c>
      <c r="B7" t="e" vm="11">
        <f ca="1"/>
        <v>#VALUE!</v>
      </c>
      <c r="C7" t="str">
        <f ca="1"/>
        <v>NSE</v>
      </c>
      <c r="D7" t="str">
        <f ca="1"/>
        <v>6.9/10</v>
      </c>
      <c r="E7">
        <f ca="1"/>
        <v>274.13</v>
      </c>
      <c r="F7">
        <f ca="1"/>
        <v>180</v>
      </c>
      <c r="G7">
        <f ca="1"/>
        <v>230</v>
      </c>
      <c r="H7">
        <f ca="1"/>
        <v>307</v>
      </c>
      <c r="I7">
        <f ca="1"/>
        <v>370</v>
      </c>
      <c r="J7">
        <f ca="1"/>
        <v>230</v>
      </c>
      <c r="K7">
        <f ca="1"/>
        <v>307</v>
      </c>
      <c r="L7">
        <f ca="1"/>
        <v>400</v>
      </c>
      <c r="M7" t="str">
        <f ca="1"/>
        <v>Fair Value / Hold</v>
      </c>
      <c r="N7">
        <f ca="1"/>
        <v>12</v>
      </c>
      <c r="O7" t="str">
        <f ca="1"/>
        <v>GNPA improved 9.4% to 2.04%; 15.6% ROE at 0.91x P/B. PSU governance risk</v>
      </c>
    </row>
    <row r="8" spans="1:15" x14ac:dyDescent="0.2">
      <c r="A8" t="str">
        <f ca="1"/>
        <v>Canara Bank</v>
      </c>
      <c r="B8" t="e" vm="16">
        <f ca="1"/>
        <v>#VALUE!</v>
      </c>
      <c r="C8" t="str">
        <f ca="1"/>
        <v>NSE</v>
      </c>
      <c r="D8" t="str">
        <f ca="1"/>
        <v>7.1/10</v>
      </c>
      <c r="E8">
        <f ca="1"/>
        <v>140.85</v>
      </c>
      <c r="F8">
        <f ca="1"/>
        <v>90</v>
      </c>
      <c r="G8">
        <f ca="1"/>
        <v>120</v>
      </c>
      <c r="H8">
        <f ca="1"/>
        <v>160</v>
      </c>
      <c r="I8">
        <f ca="1"/>
        <v>200</v>
      </c>
      <c r="J8">
        <f ca="1"/>
        <v>120</v>
      </c>
      <c r="K8">
        <f ca="1"/>
        <v>160</v>
      </c>
      <c r="L8">
        <f ca="1"/>
        <v>220</v>
      </c>
      <c r="M8" t="str">
        <f ca="1"/>
        <v>Fair Value / Hold</v>
      </c>
      <c r="N8">
        <f ca="1"/>
        <v>13.6</v>
      </c>
      <c r="O8" t="str">
        <f ca="1"/>
        <v>Best-in-class PSB asset quality; GNPA 2.08%, 18% ROE. Weak CASA 29.5%</v>
      </c>
    </row>
    <row r="9" spans="1:15" x14ac:dyDescent="0.2">
      <c r="A9" t="str">
        <f ca="1"/>
        <v>Caplin Point Laboratories</v>
      </c>
      <c r="B9" t="e" vm="17">
        <f ca="1"/>
        <v>#VALUE!</v>
      </c>
      <c r="C9" t="str">
        <f ca="1"/>
        <v>NSE</v>
      </c>
      <c r="D9" t="str">
        <f ca="1"/>
        <v>8.7/10</v>
      </c>
      <c r="E9">
        <f ca="1"/>
        <v>1719.5</v>
      </c>
      <c r="F9">
        <f ca="1"/>
        <v>1200</v>
      </c>
      <c r="G9">
        <f ca="1"/>
        <v>1565</v>
      </c>
      <c r="H9">
        <f ca="1"/>
        <v>1947</v>
      </c>
      <c r="I9">
        <f ca="1"/>
        <v>2500</v>
      </c>
      <c r="J9">
        <f ca="1"/>
        <v>1947</v>
      </c>
      <c r="K9">
        <f ca="1"/>
        <v>2700</v>
      </c>
      <c r="L9">
        <f ca="1"/>
        <v>3452</v>
      </c>
      <c r="M9" t="str">
        <f ca="1"/>
        <v>Fair Value / Hold</v>
      </c>
      <c r="N9">
        <f ca="1"/>
        <v>57</v>
      </c>
      <c r="O9" t="str">
        <f ca="1"/>
        <v>Elite pharma compounder; 23% ROE, 26% ROCE, zero debt, Rs600 Cr net cash</v>
      </c>
    </row>
    <row r="10" spans="1:15" x14ac:dyDescent="0.2">
      <c r="A10" t="str">
        <f ca="1"/>
        <v>Castrol India</v>
      </c>
      <c r="B10" t="e" vm="18">
        <f ca="1"/>
        <v>#VALUE!</v>
      </c>
      <c r="C10" t="str">
        <f ca="1"/>
        <v>NSE</v>
      </c>
      <c r="D10" t="str">
        <f ca="1"/>
        <v>8/10</v>
      </c>
      <c r="E10">
        <f ca="1"/>
        <v>182.79</v>
      </c>
      <c r="F10">
        <f ca="1"/>
        <v>120</v>
      </c>
      <c r="G10">
        <f ca="1"/>
        <v>150</v>
      </c>
      <c r="H10">
        <f ca="1"/>
        <v>190</v>
      </c>
      <c r="I10">
        <f ca="1"/>
        <v>216</v>
      </c>
      <c r="J10">
        <f ca="1"/>
        <v>150</v>
      </c>
      <c r="K10">
        <f ca="1"/>
        <v>216</v>
      </c>
      <c r="L10">
        <f ca="1"/>
        <v>250</v>
      </c>
      <c r="M10" t="str">
        <f ca="1"/>
        <v>Fair Value / Hold</v>
      </c>
      <c r="N10">
        <f ca="1"/>
        <v>18.2</v>
      </c>
      <c r="O10" t="str">
        <f ca="1"/>
        <v>60% ROCE, 5% div yield, zero debt cash cow. EV transition risk long-term</v>
      </c>
    </row>
    <row r="11" spans="1:15" x14ac:dyDescent="0.2">
      <c r="A11" t="str">
        <f ca="1"/>
        <v>Coal India</v>
      </c>
      <c r="B11" t="e" vm="20">
        <f ca="1"/>
        <v>#VALUE!</v>
      </c>
      <c r="C11" t="str">
        <f ca="1"/>
        <v>NSE</v>
      </c>
      <c r="D11" t="str">
        <f ca="1"/>
        <v>7.9/10</v>
      </c>
      <c r="E11">
        <f ca="1"/>
        <v>456</v>
      </c>
      <c r="F11">
        <f ca="1"/>
        <v>300</v>
      </c>
      <c r="G11">
        <f ca="1"/>
        <v>400</v>
      </c>
      <c r="H11">
        <f ca="1"/>
        <v>491</v>
      </c>
      <c r="I11">
        <f ca="1"/>
        <v>600</v>
      </c>
      <c r="J11">
        <f ca="1"/>
        <v>491</v>
      </c>
      <c r="K11">
        <f ca="1"/>
        <v>693</v>
      </c>
      <c r="L11">
        <f ca="1"/>
        <v>850</v>
      </c>
      <c r="M11" t="str">
        <f ca="1"/>
        <v>Fair Value / Hold</v>
      </c>
      <c r="N11">
        <f ca="1"/>
        <v>52</v>
      </c>
      <c r="O11" t="str">
        <f ca="1"/>
        <v>World's largest coal producer; 38% ROE, 5.8% div yield. Energy transition risk post-2035</v>
      </c>
    </row>
    <row r="12" spans="1:15" x14ac:dyDescent="0.2">
      <c r="A12" t="str">
        <f ca="1"/>
        <v>EPack Prefab</v>
      </c>
      <c r="B12" t="e" vm="27">
        <f ca="1"/>
        <v>#VALUE!</v>
      </c>
      <c r="C12" t="str">
        <f ca="1"/>
        <v>NSE</v>
      </c>
      <c r="D12" t="str">
        <f ca="1"/>
        <v>7.9/10</v>
      </c>
      <c r="E12">
        <f ca="1"/>
        <v>183.29</v>
      </c>
      <c r="F12">
        <f ca="1"/>
        <v>120</v>
      </c>
      <c r="G12">
        <f ca="1"/>
        <v>178</v>
      </c>
      <c r="H12">
        <f ca="1"/>
        <v>252</v>
      </c>
      <c r="I12">
        <f ca="1"/>
        <v>400</v>
      </c>
      <c r="J12">
        <f ca="1"/>
        <v>252</v>
      </c>
      <c r="K12">
        <f ca="1"/>
        <v>560</v>
      </c>
      <c r="L12">
        <f ca="1"/>
        <v>800</v>
      </c>
      <c r="M12" t="str">
        <f ca="1"/>
        <v>Fair Value / Hold</v>
      </c>
      <c r="N12">
        <f ca="1"/>
        <v>205.5</v>
      </c>
      <c r="O12" t="str">
        <f ca="1"/>
        <v>3rd largest PEB maker; 36% rev CAGR, net cash, PEG 0.48. Narrow moat risk</v>
      </c>
    </row>
    <row r="13" spans="1:15" x14ac:dyDescent="0.2">
      <c r="A13" t="str">
        <f ca="1"/>
        <v>Evans Electric</v>
      </c>
      <c r="B13" t="e" vm="28">
        <f ca="1"/>
        <v>#VALUE!</v>
      </c>
      <c r="C13" t="str">
        <f ca="1"/>
        <v>BSE</v>
      </c>
      <c r="D13" t="str">
        <f ca="1"/>
        <v>8.6/10</v>
      </c>
      <c r="E13">
        <f ca="1"/>
        <v>100</v>
      </c>
      <c r="F13">
        <f ca="1"/>
        <v>40</v>
      </c>
      <c r="G13">
        <f ca="1"/>
        <v>60</v>
      </c>
      <c r="H13">
        <f ca="1"/>
        <v>100</v>
      </c>
      <c r="I13">
        <f ca="1"/>
        <v>165</v>
      </c>
      <c r="J13">
        <f ca="1"/>
        <v>80</v>
      </c>
      <c r="K13">
        <f ca="1"/>
        <v>130</v>
      </c>
      <c r="L13">
        <f ca="1"/>
        <v>211</v>
      </c>
      <c r="M13" t="str">
        <f ca="1"/>
        <v>Fair Value / Hold</v>
      </c>
      <c r="N13">
        <f ca="1"/>
        <v>30</v>
      </c>
      <c r="O13" t="str">
        <f ca="1"/>
        <v>75-yr niche specialist; 30% ROE, 41% ROCE, zero debt, 5.7x PE. Extreme illiquidity</v>
      </c>
    </row>
    <row r="14" spans="1:15" x14ac:dyDescent="0.2">
      <c r="A14" t="str">
        <f ca="1"/>
        <v>HDFC Bank</v>
      </c>
      <c r="B14" t="e" vm="33">
        <f ca="1"/>
        <v>#VALUE!</v>
      </c>
      <c r="C14" t="str">
        <f ca="1"/>
        <v>NSE</v>
      </c>
      <c r="D14" t="str">
        <f ca="1"/>
        <v>8.3/10</v>
      </c>
      <c r="E14">
        <f ca="1"/>
        <v>784.85</v>
      </c>
      <c r="F14">
        <f ca="1"/>
        <v>550</v>
      </c>
      <c r="G14">
        <f ca="1"/>
        <v>728</v>
      </c>
      <c r="H14">
        <f ca="1"/>
        <v>910</v>
      </c>
      <c r="I14">
        <f ca="1"/>
        <v>1050</v>
      </c>
      <c r="J14">
        <f ca="1"/>
        <v>728</v>
      </c>
      <c r="K14">
        <f ca="1"/>
        <v>910</v>
      </c>
      <c r="L14">
        <f ca="1"/>
        <v>1200</v>
      </c>
      <c r="M14" t="str">
        <f ca="1"/>
        <v>Fair Value / Hold</v>
      </c>
      <c r="N14">
        <f ca="1"/>
        <v>15.9</v>
      </c>
      <c r="O14" t="str">
        <f ca="1"/>
        <v>India's best bank franchise; GNPA 1.24%, 9,600+ branches. Post-merger integration</v>
      </c>
    </row>
    <row r="15" spans="1:15" x14ac:dyDescent="0.2">
      <c r="A15" t="str">
        <f ca="1"/>
        <v>Hyundai Motor India</v>
      </c>
      <c r="B15" t="e" vm="35">
        <f ca="1"/>
        <v>#VALUE!</v>
      </c>
      <c r="C15" t="str">
        <f ca="1"/>
        <v>NSE</v>
      </c>
      <c r="D15" t="str">
        <f ca="1"/>
        <v>7.2/10</v>
      </c>
      <c r="E15">
        <f ca="1"/>
        <v>1783.6</v>
      </c>
      <c r="F15">
        <f ca="1"/>
        <v>1100</v>
      </c>
      <c r="G15">
        <f ca="1"/>
        <v>1400</v>
      </c>
      <c r="H15">
        <f ca="1"/>
        <v>1902</v>
      </c>
      <c r="I15">
        <f ca="1"/>
        <v>2200</v>
      </c>
      <c r="J15">
        <f ca="1"/>
        <v>1290</v>
      </c>
      <c r="K15">
        <f ca="1"/>
        <v>1902</v>
      </c>
      <c r="L15">
        <f ca="1"/>
        <v>2500</v>
      </c>
      <c r="M15" t="str">
        <f ca="1"/>
        <v>Fair Value / Hold</v>
      </c>
      <c r="N15">
        <f ca="1"/>
        <v>6.6</v>
      </c>
      <c r="O15" t="str">
        <f ca="1"/>
        <v>India's #2 PV maker; debt-free, 54% ROCE. Parent cash extraction risk</v>
      </c>
    </row>
    <row r="16" spans="1:15" x14ac:dyDescent="0.2">
      <c r="A16" t="str">
        <f ca="1"/>
        <v>ICICI Bank</v>
      </c>
      <c r="B16" t="e" vm="36">
        <f ca="1"/>
        <v>#VALUE!</v>
      </c>
      <c r="C16" t="str">
        <f ca="1"/>
        <v>NSE</v>
      </c>
      <c r="D16" t="str">
        <f ca="1"/>
        <v>8.4/10</v>
      </c>
      <c r="E16">
        <f ca="1"/>
        <v>1326.2</v>
      </c>
      <c r="F16">
        <f ca="1"/>
        <v>900</v>
      </c>
      <c r="G16">
        <f ca="1"/>
        <v>1114</v>
      </c>
      <c r="H16">
        <f ca="1"/>
        <v>1500</v>
      </c>
      <c r="I16">
        <f ca="1"/>
        <v>1936</v>
      </c>
      <c r="J16">
        <f ca="1"/>
        <v>1114</v>
      </c>
      <c r="K16">
        <f ca="1"/>
        <v>1500</v>
      </c>
      <c r="L16">
        <f ca="1"/>
        <v>2234</v>
      </c>
      <c r="M16" t="str">
        <f ca="1"/>
        <v>Fair Value / Hold</v>
      </c>
      <c r="N16">
        <f ca="1"/>
        <v>13.1</v>
      </c>
      <c r="O16" t="str">
        <f ca="1"/>
        <v>Elite franchise; 18% ROE, highest ROA (2.18%) among large banks. Turnaround complete</v>
      </c>
    </row>
    <row r="17" spans="1:15" x14ac:dyDescent="0.2">
      <c r="A17" t="str">
        <f ca="1"/>
        <v>IndiaMART</v>
      </c>
      <c r="B17" t="e" vm="37">
        <f ca="1"/>
        <v>#VALUE!</v>
      </c>
      <c r="C17" t="str">
        <f ca="1"/>
        <v>NSE</v>
      </c>
      <c r="D17" t="str">
        <f ca="1"/>
        <v>8.7/10</v>
      </c>
      <c r="E17">
        <f ca="1"/>
        <v>2107.1</v>
      </c>
      <c r="F17">
        <f ca="1"/>
        <v>1500</v>
      </c>
      <c r="G17">
        <f ca="1"/>
        <v>2000</v>
      </c>
      <c r="H17">
        <f ca="1"/>
        <v>2440</v>
      </c>
      <c r="I17">
        <f ca="1"/>
        <v>3010</v>
      </c>
      <c r="J17">
        <f ca="1"/>
        <v>2440</v>
      </c>
      <c r="K17">
        <f ca="1"/>
        <v>3010</v>
      </c>
      <c r="L17">
        <f ca="1"/>
        <v>3500</v>
      </c>
      <c r="M17" t="str">
        <f ca="1"/>
        <v>Fair Value / Hold</v>
      </c>
      <c r="N17">
        <f ca="1"/>
        <v>42.9</v>
      </c>
      <c r="O17" t="str">
        <f ca="1"/>
        <v>B2B toll-bridge; 60% market share, 44% FCF margins, Rs3,051 Cr cash. Founder 49% stake</v>
      </c>
    </row>
    <row r="18" spans="1:15" x14ac:dyDescent="0.2">
      <c r="A18" t="str">
        <f ca="1"/>
        <v>Indus Towers</v>
      </c>
      <c r="B18" t="e" vm="39">
        <f ca="1"/>
        <v>#VALUE!</v>
      </c>
      <c r="C18" t="str">
        <f ca="1"/>
        <v>NSE</v>
      </c>
      <c r="D18" t="str">
        <f ca="1"/>
        <v>8.1/10</v>
      </c>
      <c r="E18">
        <f ca="1"/>
        <v>402.2</v>
      </c>
      <c r="F18">
        <f ca="1"/>
        <v>240</v>
      </c>
      <c r="G18">
        <f ca="1"/>
        <v>360</v>
      </c>
      <c r="H18">
        <f ca="1"/>
        <v>480</v>
      </c>
      <c r="I18">
        <f ca="1"/>
        <v>611</v>
      </c>
      <c r="J18">
        <f ca="1"/>
        <v>360</v>
      </c>
      <c r="K18">
        <f ca="1"/>
        <v>611</v>
      </c>
      <c r="L18">
        <f ca="1"/>
        <v>800</v>
      </c>
      <c r="M18" t="str">
        <f ca="1"/>
        <v>Fair Value / Hold</v>
      </c>
      <c r="N18">
        <f ca="1"/>
        <v>51.9</v>
      </c>
      <c r="O18" t="str">
        <f ca="1"/>
        <v>India's largest tower co; 29% ROCE, 33% ROE, AAA-rated. Declining tenancy ratio</v>
      </c>
    </row>
    <row r="19" spans="1:15" x14ac:dyDescent="0.2">
      <c r="A19" t="str">
        <f ca="1"/>
        <v>Info Edge (Naukri)</v>
      </c>
      <c r="B19" t="e" vm="40">
        <f ca="1"/>
        <v>#VALUE!</v>
      </c>
      <c r="C19" t="str">
        <f ca="1"/>
        <v>NSE</v>
      </c>
      <c r="D19" t="str">
        <f ca="1"/>
        <v>8.9/10</v>
      </c>
      <c r="E19">
        <f ca="1"/>
        <v>984.95</v>
      </c>
      <c r="F19">
        <f ca="1"/>
        <v>700</v>
      </c>
      <c r="G19">
        <f ca="1"/>
        <v>900</v>
      </c>
      <c r="H19">
        <f ca="1"/>
        <v>1043</v>
      </c>
      <c r="I19">
        <f ca="1"/>
        <v>1193</v>
      </c>
      <c r="J19">
        <f ca="1"/>
        <v>943</v>
      </c>
      <c r="K19">
        <f ca="1"/>
        <v>1043</v>
      </c>
      <c r="L19">
        <f ca="1"/>
        <v>1193</v>
      </c>
      <c r="M19" t="str">
        <f ca="1"/>
        <v>Fair Value / Hold</v>
      </c>
      <c r="N19">
        <f ca="1"/>
        <v>5.9</v>
      </c>
      <c r="O19" t="str">
        <f ca="1"/>
        <v>80% recruitment traffic share; debt-free, Rs4,000 Cr cash. AI disruption wildcard</v>
      </c>
    </row>
    <row r="20" spans="1:15" x14ac:dyDescent="0.2">
      <c r="A20" t="str">
        <f ca="1"/>
        <v>ITC</v>
      </c>
      <c r="B20" t="e" vm="44">
        <f ca="1"/>
        <v>#VALUE!</v>
      </c>
      <c r="C20" t="str">
        <f ca="1"/>
        <v>NSE</v>
      </c>
      <c r="D20" t="str">
        <f ca="1"/>
        <v>8.3/10</v>
      </c>
      <c r="E20">
        <f ca="1"/>
        <v>301.60000000000002</v>
      </c>
      <c r="F20">
        <f ca="1"/>
        <v>220</v>
      </c>
      <c r="G20">
        <f ca="1"/>
        <v>270</v>
      </c>
      <c r="H20">
        <f ca="1"/>
        <v>320</v>
      </c>
      <c r="I20">
        <f ca="1"/>
        <v>386</v>
      </c>
      <c r="J20">
        <f ca="1"/>
        <v>270</v>
      </c>
      <c r="K20">
        <f ca="1"/>
        <v>386</v>
      </c>
      <c r="L20">
        <f ca="1"/>
        <v>450</v>
      </c>
      <c r="M20" t="str">
        <f ca="1"/>
        <v>Fair Value / Hold</v>
      </c>
      <c r="N20">
        <f ca="1"/>
        <v>28</v>
      </c>
      <c r="O20" t="str">
        <f ca="1"/>
        <v>80% cigarette market share; 27% ROE, 4.5% div yield. Tax hike + ESG FII exodus risk</v>
      </c>
    </row>
    <row r="21" spans="1:15" x14ac:dyDescent="0.2">
      <c r="A21" t="str">
        <f ca="1"/>
        <v>JK Paper</v>
      </c>
      <c r="B21" t="e" vm="45">
        <f ca="1"/>
        <v>#VALUE!</v>
      </c>
      <c r="C21" t="str">
        <f ca="1"/>
        <v>NSE</v>
      </c>
      <c r="D21" t="str">
        <f ca="1"/>
        <v>5.5/10</v>
      </c>
      <c r="E21">
        <f ca="1"/>
        <v>371.7</v>
      </c>
      <c r="F21">
        <f ca="1"/>
        <v>226</v>
      </c>
      <c r="G21">
        <f ca="1"/>
        <v>291</v>
      </c>
      <c r="H21">
        <f ca="1"/>
        <v>388</v>
      </c>
      <c r="I21">
        <f ca="1"/>
        <v>517</v>
      </c>
      <c r="J21">
        <f ca="1"/>
        <v>307</v>
      </c>
      <c r="K21">
        <f ca="1"/>
        <v>430</v>
      </c>
      <c r="L21">
        <f ca="1"/>
        <v>556</v>
      </c>
      <c r="M21" t="str">
        <f ca="1"/>
        <v>Fair Value / Hold</v>
      </c>
      <c r="N21">
        <f ca="1"/>
        <v>15.7</v>
      </c>
      <c r="O21" t="str">
        <f ca="1"/>
        <v>Integrated paper maker; low-cost producer. Commodity cyclical business</v>
      </c>
    </row>
    <row r="22" spans="1:15" x14ac:dyDescent="0.2">
      <c r="A22" t="str">
        <f ca="1"/>
        <v>Kalyan Jewellers</v>
      </c>
      <c r="B22" t="e" vm="46">
        <f ca="1"/>
        <v>#VALUE!</v>
      </c>
      <c r="C22" t="str">
        <f ca="1"/>
        <v>NSE</v>
      </c>
      <c r="D22" t="str">
        <f ca="1"/>
        <v>7.2/10</v>
      </c>
      <c r="E22">
        <f ca="1"/>
        <v>405.3</v>
      </c>
      <c r="F22">
        <f ca="1"/>
        <v>210</v>
      </c>
      <c r="G22">
        <f ca="1"/>
        <v>330</v>
      </c>
      <c r="H22">
        <f ca="1"/>
        <v>440</v>
      </c>
      <c r="I22">
        <f ca="1"/>
        <v>600</v>
      </c>
      <c r="J22">
        <f ca="1"/>
        <v>210</v>
      </c>
      <c r="K22">
        <f ca="1"/>
        <v>380</v>
      </c>
      <c r="L22">
        <f ca="1"/>
        <v>600</v>
      </c>
      <c r="M22" t="str">
        <f ca="1"/>
        <v>Fair Value / Hold</v>
      </c>
      <c r="N22">
        <f ca="1"/>
        <v>-6.2</v>
      </c>
      <c r="O22" t="str">
        <f ca="1"/>
        <v>Strong brand, franchise model expanding. Jewellery is low-moat commodity retail</v>
      </c>
    </row>
    <row r="23" spans="1:15" x14ac:dyDescent="0.2">
      <c r="A23" t="str">
        <f ca="1"/>
        <v>Karur Vysya Bank</v>
      </c>
      <c r="B23" t="e" vm="48">
        <f ca="1"/>
        <v>#VALUE!</v>
      </c>
      <c r="C23" t="str">
        <f ca="1"/>
        <v>NSE</v>
      </c>
      <c r="D23" t="str">
        <f ca="1"/>
        <v>8.4/10</v>
      </c>
      <c r="E23">
        <f ca="1"/>
        <v>295.45</v>
      </c>
      <c r="F23">
        <f ca="1"/>
        <v>158</v>
      </c>
      <c r="G23">
        <f ca="1"/>
        <v>224</v>
      </c>
      <c r="H23">
        <f ca="1"/>
        <v>304</v>
      </c>
      <c r="I23">
        <f ca="1"/>
        <v>396</v>
      </c>
      <c r="J23">
        <f ca="1"/>
        <v>198</v>
      </c>
      <c r="K23">
        <f ca="1"/>
        <v>293</v>
      </c>
      <c r="L23">
        <f ca="1"/>
        <v>387</v>
      </c>
      <c r="M23" t="str">
        <f ca="1"/>
        <v>Fair Value / Hold</v>
      </c>
      <c r="N23">
        <f ca="1"/>
        <v>-0.8</v>
      </c>
      <c r="O23" t="str">
        <f ca="1"/>
        <v>Improving asset quality; regional moat in Tamil Nadu. Limited growth runway</v>
      </c>
    </row>
    <row r="24" spans="1:15" x14ac:dyDescent="0.2">
      <c r="A24" t="str">
        <f ca="1"/>
        <v>Kotak Mahindra Bank</v>
      </c>
      <c r="B24" t="e" vm="49">
        <f ca="1"/>
        <v>#VALUE!</v>
      </c>
      <c r="C24" t="str">
        <f ca="1"/>
        <v>NSE</v>
      </c>
      <c r="D24" t="str">
        <f ca="1"/>
        <v>8.1/10</v>
      </c>
      <c r="E24">
        <f ca="1"/>
        <v>370.85</v>
      </c>
      <c r="F24">
        <f ca="1"/>
        <v>200</v>
      </c>
      <c r="G24">
        <f ca="1"/>
        <v>316</v>
      </c>
      <c r="H24">
        <f ca="1"/>
        <v>375</v>
      </c>
      <c r="I24">
        <f ca="1"/>
        <v>475</v>
      </c>
      <c r="J24">
        <f ca="1"/>
        <v>316</v>
      </c>
      <c r="K24">
        <f ca="1"/>
        <v>375</v>
      </c>
      <c r="L24">
        <f ca="1"/>
        <v>500</v>
      </c>
      <c r="M24" t="str">
        <f ca="1"/>
        <v>Fair Value / Hold</v>
      </c>
      <c r="N24">
        <f ca="1"/>
        <v>1.1000000000000001</v>
      </c>
      <c r="O24" t="str">
        <f ca="1"/>
        <v>Premium bank franchise; strong management, conservative underwriting</v>
      </c>
    </row>
    <row r="25" spans="1:15" x14ac:dyDescent="0.2">
      <c r="A25" t="str">
        <f ca="1"/>
        <v>KPIT Technologies</v>
      </c>
      <c r="B25" t="e" vm="50">
        <f ca="1"/>
        <v>#VALUE!</v>
      </c>
      <c r="C25" t="str">
        <f ca="1"/>
        <v>NSE</v>
      </c>
      <c r="D25" t="str">
        <f ca="1"/>
        <v>8.3/10</v>
      </c>
      <c r="E25">
        <f ca="1"/>
        <v>709.6</v>
      </c>
      <c r="F25">
        <f ca="1"/>
        <v>420</v>
      </c>
      <c r="G25">
        <f ca="1"/>
        <v>620</v>
      </c>
      <c r="H25">
        <f ca="1"/>
        <v>840</v>
      </c>
      <c r="I25">
        <f ca="1"/>
        <v>1000</v>
      </c>
      <c r="J25">
        <f ca="1"/>
        <v>500</v>
      </c>
      <c r="K25">
        <f ca="1"/>
        <v>820</v>
      </c>
      <c r="L25">
        <f ca="1"/>
        <v>1200</v>
      </c>
      <c r="M25" t="str">
        <f ca="1"/>
        <v>Fair Value / Hold</v>
      </c>
      <c r="N25">
        <f ca="1"/>
        <v>15.6</v>
      </c>
      <c r="O25" t="str">
        <f ca="1"/>
        <v>EV/automotive tech niche; sticky Tier-1 clients, secular tailwind</v>
      </c>
    </row>
    <row r="26" spans="1:15" x14ac:dyDescent="0.2">
      <c r="A26" t="str">
        <f ca="1"/>
        <v>KSE Ltd</v>
      </c>
      <c r="B26" t="e" vm="51">
        <f ca="1"/>
        <v>#VALUE!</v>
      </c>
      <c r="C26" t="str">
        <f ca="1"/>
        <v>NSE</v>
      </c>
      <c r="D26" t="str">
        <f ca="1"/>
        <v>6.3/10</v>
      </c>
      <c r="E26">
        <f ca="1"/>
        <v>204</v>
      </c>
      <c r="F26">
        <f ca="1"/>
        <v>132</v>
      </c>
      <c r="G26">
        <f ca="1"/>
        <v>198</v>
      </c>
      <c r="H26">
        <f ca="1"/>
        <v>275</v>
      </c>
      <c r="I26">
        <f ca="1"/>
        <v>385</v>
      </c>
      <c r="J26">
        <f ca="1"/>
        <v>224</v>
      </c>
      <c r="K26">
        <f ca="1"/>
        <v>300</v>
      </c>
      <c r="L26">
        <f ca="1"/>
        <v>366</v>
      </c>
      <c r="M26" t="str">
        <f ca="1"/>
        <v>Fair Value / Hold</v>
      </c>
      <c r="N26">
        <f ca="1"/>
        <v>47.1</v>
      </c>
      <c r="O26" t="str">
        <f ca="1"/>
        <v>Dominant Kerala dairy; asset-light operations, steady cash flows</v>
      </c>
    </row>
    <row r="27" spans="1:15" x14ac:dyDescent="0.2">
      <c r="A27" t="str">
        <f ca="1"/>
        <v>Maharashtra Seamless</v>
      </c>
      <c r="B27" t="e" vm="53">
        <f ca="1"/>
        <v>#VALUE!</v>
      </c>
      <c r="C27" t="str">
        <f ca="1"/>
        <v>NSE</v>
      </c>
      <c r="D27" t="str">
        <f ca="1"/>
        <v>7.3/10</v>
      </c>
      <c r="E27">
        <f ca="1"/>
        <v>642.35</v>
      </c>
      <c r="F27">
        <f ca="1"/>
        <v>392</v>
      </c>
      <c r="G27">
        <f ca="1"/>
        <v>539</v>
      </c>
      <c r="H27">
        <f ca="1"/>
        <v>735</v>
      </c>
      <c r="I27">
        <f ca="1"/>
        <v>980</v>
      </c>
      <c r="J27">
        <f ca="1"/>
        <v>895</v>
      </c>
      <c r="K27">
        <f ca="1"/>
        <v>1335</v>
      </c>
      <c r="L27">
        <f ca="1"/>
        <v>2043</v>
      </c>
      <c r="M27" t="str">
        <f ca="1"/>
        <v>Fair Value / Hold</v>
      </c>
      <c r="N27">
        <f ca="1"/>
        <v>107.8</v>
      </c>
      <c r="O27" t="str">
        <f ca="1"/>
        <v>Passes all 10 Buffett criteria; debt-free, seamless pipe leader</v>
      </c>
    </row>
    <row r="28" spans="1:15" x14ac:dyDescent="0.2">
      <c r="A28" t="str">
        <f ca="1"/>
        <v>Mahindra &amp; Mahindra</v>
      </c>
      <c r="B28" t="e" vm="54">
        <f ca="1"/>
        <v>#VALUE!</v>
      </c>
      <c r="C28" t="str">
        <f ca="1"/>
        <v>NSE</v>
      </c>
      <c r="D28" t="str">
        <f ca="1"/>
        <v>7.5/10</v>
      </c>
      <c r="E28">
        <f ca="1"/>
        <v>3038.4</v>
      </c>
      <c r="F28">
        <f ca="1"/>
        <v>1750</v>
      </c>
      <c r="G28">
        <f ca="1"/>
        <v>2250</v>
      </c>
      <c r="H28">
        <f ca="1"/>
        <v>3125</v>
      </c>
      <c r="I28">
        <f ca="1"/>
        <v>4000</v>
      </c>
      <c r="J28">
        <f ca="1"/>
        <v>2988</v>
      </c>
      <c r="K28">
        <f ca="1"/>
        <v>3951</v>
      </c>
      <c r="L28">
        <f ca="1"/>
        <v>5159</v>
      </c>
      <c r="M28" t="str">
        <f ca="1"/>
        <v>Fair Value / Hold</v>
      </c>
      <c r="N28">
        <f ca="1"/>
        <v>30</v>
      </c>
      <c r="O28" t="str">
        <f ca="1"/>
        <v>SUV dominance; diversified conglomerate, farm+auto dual engines</v>
      </c>
    </row>
    <row r="29" spans="1:15" x14ac:dyDescent="0.2">
      <c r="A29" t="str">
        <f ca="1"/>
        <v>PC Jeweller</v>
      </c>
      <c r="B29" t="e" vm="59">
        <f ca="1"/>
        <v>#VALUE!</v>
      </c>
      <c r="C29" t="str">
        <f ca="1"/>
        <v>NSE</v>
      </c>
      <c r="D29" t="str">
        <f ca="1"/>
        <v>3.5/10</v>
      </c>
      <c r="E29">
        <f ca="1"/>
        <v>9.35</v>
      </c>
      <c r="F29">
        <f ca="1"/>
        <v>5</v>
      </c>
      <c r="G29">
        <f ca="1"/>
        <v>7</v>
      </c>
      <c r="H29">
        <f ca="1"/>
        <v>10</v>
      </c>
      <c r="I29">
        <f ca="1"/>
        <v>15</v>
      </c>
      <c r="J29">
        <f ca="1"/>
        <v>3.7</v>
      </c>
      <c r="K29">
        <f ca="1"/>
        <v>10</v>
      </c>
      <c r="L29">
        <f ca="1"/>
        <v>19.3</v>
      </c>
      <c r="M29" t="str">
        <f ca="1"/>
        <v>Fair Value / Hold</v>
      </c>
      <c r="N29">
        <f ca="1"/>
        <v>7</v>
      </c>
      <c r="O29" t="str">
        <f ca="1"/>
        <v>Turnaround cigar butt; massive debt reduction. 4.5x equity dilution, broken economics</v>
      </c>
    </row>
    <row r="30" spans="1:15" x14ac:dyDescent="0.2">
      <c r="A30" t="str">
        <f ca="1"/>
        <v>Procter &amp; Gamble Hygiene</v>
      </c>
      <c r="B30" t="e" vm="60">
        <f ca="1"/>
        <v>#VALUE!</v>
      </c>
      <c r="C30" t="str">
        <f ca="1"/>
        <v>NSE</v>
      </c>
      <c r="D30" t="str">
        <f ca="1"/>
        <v>7.9/10</v>
      </c>
      <c r="E30">
        <f ca="1"/>
        <v>10300</v>
      </c>
      <c r="F30">
        <f ca="1"/>
        <v>6375</v>
      </c>
      <c r="G30">
        <f ca="1"/>
        <v>8160</v>
      </c>
      <c r="H30">
        <f ca="1"/>
        <v>10710</v>
      </c>
      <c r="I30">
        <f ca="1"/>
        <v>14025</v>
      </c>
      <c r="J30">
        <f ca="1"/>
        <v>5651</v>
      </c>
      <c r="K30">
        <f ca="1"/>
        <v>8315</v>
      </c>
      <c r="L30">
        <f ca="1"/>
        <v>11576</v>
      </c>
      <c r="M30" t="str">
        <f ca="1"/>
        <v>Fair Value / Hold</v>
      </c>
      <c r="N30">
        <f ca="1"/>
        <v>-19.3</v>
      </c>
      <c r="O30" t="str">
        <f ca="1"/>
        <v>Whisper 55% share + Vicks; 104% ROCE, zero debt. Overpriced at 42x PE</v>
      </c>
    </row>
    <row r="31" spans="1:15" x14ac:dyDescent="0.2">
      <c r="A31" t="str">
        <f ca="1"/>
        <v>SH Kelkar (KEVA)</v>
      </c>
      <c r="B31" t="e" vm="65">
        <f ca="1"/>
        <v>#VALUE!</v>
      </c>
      <c r="C31" t="str">
        <f ca="1"/>
        <v>NSE</v>
      </c>
      <c r="D31" t="str">
        <f ca="1"/>
        <v>5/10</v>
      </c>
      <c r="E31">
        <f ca="1"/>
        <v>142.25</v>
      </c>
      <c r="F31">
        <f ca="1"/>
        <v>96</v>
      </c>
      <c r="G31">
        <f ca="1"/>
        <v>125</v>
      </c>
      <c r="H31">
        <f ca="1"/>
        <v>173</v>
      </c>
      <c r="I31">
        <f ca="1"/>
        <v>240</v>
      </c>
      <c r="J31">
        <f ca="1"/>
        <v>106</v>
      </c>
      <c r="K31">
        <f ca="1"/>
        <v>203</v>
      </c>
      <c r="L31">
        <f ca="1"/>
        <v>316</v>
      </c>
      <c r="M31" t="str">
        <f ca="1"/>
        <v>Fair Value / Hold</v>
      </c>
      <c r="N31">
        <f ca="1"/>
        <v>42.7</v>
      </c>
      <c r="O31" t="str">
        <f ca="1"/>
        <v>India's #1 domestic F&amp;F supplier; 100-yr brand, deep value turnaround at 1.26x P/B</v>
      </c>
    </row>
    <row r="32" spans="1:15" x14ac:dyDescent="0.2">
      <c r="A32" t="str">
        <f ca="1"/>
        <v>Shriram Finance</v>
      </c>
      <c r="B32" t="e" vm="66">
        <f ca="1"/>
        <v>#VALUE!</v>
      </c>
      <c r="C32" t="str">
        <f ca="1"/>
        <v>NSE</v>
      </c>
      <c r="D32" t="str">
        <f ca="1"/>
        <v>8.1/10</v>
      </c>
      <c r="E32">
        <f ca="1"/>
        <v>1011.3</v>
      </c>
      <c r="F32">
        <f ca="1"/>
        <v>615</v>
      </c>
      <c r="G32">
        <f ca="1"/>
        <v>850</v>
      </c>
      <c r="H32">
        <f ca="1"/>
        <v>1025</v>
      </c>
      <c r="I32">
        <f ca="1"/>
        <v>1230</v>
      </c>
      <c r="J32">
        <f ca="1"/>
        <v>410</v>
      </c>
      <c r="K32">
        <f ca="1"/>
        <v>660</v>
      </c>
      <c r="L32">
        <f ca="1"/>
        <v>1210</v>
      </c>
      <c r="M32" t="str">
        <f ca="1"/>
        <v>Fair Value / Hold</v>
      </c>
      <c r="N32">
        <f ca="1"/>
        <v>-34.700000000000003</v>
      </c>
      <c r="O32" t="str">
        <f ca="1"/>
        <v>Wide moat NBFC; 2.8% ROA, used CV finance leader, 3,225+ branches</v>
      </c>
    </row>
    <row r="33" spans="1:15" x14ac:dyDescent="0.2">
      <c r="A33" t="str">
        <f ca="1"/>
        <v>South Indian Bank</v>
      </c>
      <c r="B33" t="e" vm="68">
        <f ca="1"/>
        <v>#VALUE!</v>
      </c>
      <c r="C33" t="str">
        <f ca="1"/>
        <v>NSE</v>
      </c>
      <c r="D33" t="str">
        <f ca="1"/>
        <v>5.9/10</v>
      </c>
      <c r="E33">
        <f ca="1"/>
        <v>38.630000000000003</v>
      </c>
      <c r="F33">
        <f ca="1"/>
        <v>27</v>
      </c>
      <c r="G33">
        <f ca="1"/>
        <v>38</v>
      </c>
      <c r="H33">
        <f ca="1"/>
        <v>50</v>
      </c>
      <c r="I33">
        <f ca="1"/>
        <v>67</v>
      </c>
      <c r="J33">
        <f ca="1"/>
        <v>27</v>
      </c>
      <c r="K33">
        <f ca="1"/>
        <v>38</v>
      </c>
      <c r="L33">
        <f ca="1"/>
        <v>50</v>
      </c>
      <c r="M33" t="str">
        <f ca="1"/>
        <v>Fair Value / Hold</v>
      </c>
      <c r="N33">
        <f ca="1"/>
        <v>-1.6</v>
      </c>
      <c r="O33" t="str">
        <f ca="1"/>
        <v>Cyclical recovery; GNPA 5.48% to 2.67%, ROA surged to 1.08%, 0.90x P/B</v>
      </c>
    </row>
    <row r="34" spans="1:15" x14ac:dyDescent="0.2">
      <c r="A34" t="str">
        <f ca="1"/>
        <v>State Bank of India</v>
      </c>
      <c r="B34" t="e" vm="70">
        <f ca="1"/>
        <v>#VALUE!</v>
      </c>
      <c r="C34" t="str">
        <f ca="1"/>
        <v>NSE</v>
      </c>
      <c r="D34" t="str">
        <f ca="1"/>
        <v>7/10</v>
      </c>
      <c r="E34">
        <f ca="1"/>
        <v>1101.0999999999999</v>
      </c>
      <c r="F34">
        <f ca="1"/>
        <v>641</v>
      </c>
      <c r="G34">
        <f ca="1"/>
        <v>833</v>
      </c>
      <c r="H34">
        <f ca="1"/>
        <v>1154</v>
      </c>
      <c r="I34">
        <f ca="1"/>
        <v>1410</v>
      </c>
      <c r="J34">
        <f ca="1"/>
        <v>915</v>
      </c>
      <c r="K34">
        <f ca="1"/>
        <v>1255</v>
      </c>
      <c r="L34">
        <f ca="1"/>
        <v>1675</v>
      </c>
      <c r="M34" t="str">
        <f ca="1"/>
        <v>Fair Value / Hold</v>
      </c>
      <c r="N34">
        <f ca="1"/>
        <v>14</v>
      </c>
      <c r="O34" t="str">
        <f ca="1"/>
        <v>India's largest bank; 22K branches, 17% ROE, post-turnaround compounder</v>
      </c>
    </row>
    <row r="35" spans="1:15" x14ac:dyDescent="0.2">
      <c r="A35" t="str">
        <f ca="1"/>
        <v>TVS Holdings</v>
      </c>
      <c r="B35" t="e" vm="79">
        <f ca="1"/>
        <v>#VALUE!</v>
      </c>
      <c r="C35" t="str">
        <f ca="1"/>
        <v>NSE</v>
      </c>
      <c r="D35" t="str">
        <f ca="1"/>
        <v>8.1/10</v>
      </c>
      <c r="E35">
        <f ca="1"/>
        <v>14223</v>
      </c>
      <c r="F35">
        <f ca="1"/>
        <v>7700</v>
      </c>
      <c r="G35">
        <f ca="1"/>
        <v>11550</v>
      </c>
      <c r="H35">
        <f ca="1"/>
        <v>15400</v>
      </c>
      <c r="I35">
        <f ca="1"/>
        <v>19250</v>
      </c>
      <c r="J35">
        <f ca="1"/>
        <v>18650</v>
      </c>
      <c r="K35">
        <f ca="1"/>
        <v>23700</v>
      </c>
      <c r="L35">
        <f ca="1"/>
        <v>33250</v>
      </c>
      <c r="M35" t="str">
        <f ca="1"/>
        <v>Fair Value / Hold</v>
      </c>
      <c r="N35">
        <f ca="1"/>
        <v>66.599999999999994</v>
      </c>
      <c r="O35" t="str">
        <f ca="1"/>
        <v>67% holdco discount; owns 50% TVS Motor + NBFC. 31%+ upside conservative</v>
      </c>
    </row>
    <row r="36" spans="1:15" x14ac:dyDescent="0.2">
      <c r="A36" t="str">
        <f ca="1"/>
        <v>Alphabet (Google)</v>
      </c>
      <c r="B36" t="e" vm="82">
        <f ca="1"/>
        <v>#VALUE!</v>
      </c>
      <c r="C36" t="str">
        <f ca="1"/>
        <v>NASDAQ</v>
      </c>
      <c r="D36" t="str">
        <f ca="1"/>
        <v>9.2/10</v>
      </c>
      <c r="E36">
        <f ca="1"/>
        <v>338.89</v>
      </c>
      <c r="F36">
        <f ca="1"/>
        <v>220</v>
      </c>
      <c r="G36">
        <f ca="1"/>
        <v>280</v>
      </c>
      <c r="H36">
        <f ca="1"/>
        <v>360</v>
      </c>
      <c r="I36">
        <f ca="1"/>
        <v>430</v>
      </c>
      <c r="J36">
        <f ca="1"/>
        <v>222</v>
      </c>
      <c r="K36">
        <f ca="1"/>
        <v>279</v>
      </c>
      <c r="L36">
        <f ca="1"/>
        <v>354</v>
      </c>
      <c r="M36" t="str">
        <f ca="1"/>
        <v>Fair Value / Hold</v>
      </c>
      <c r="N36">
        <f ca="1"/>
        <v>-17.7</v>
      </c>
      <c r="O36" t="str">
        <f ca="1"/>
        <v>Search monopoly + AI moat; 35.7% ROE, $164.7B OCF. Fairly valued at $340</v>
      </c>
    </row>
    <row r="37" spans="1:15" x14ac:dyDescent="0.2">
      <c r="A37" t="str">
        <f ca="1"/>
        <v>Amazon</v>
      </c>
      <c r="B37" t="e" vm="83">
        <f ca="1"/>
        <v>#VALUE!</v>
      </c>
      <c r="C37" t="str">
        <f ca="1"/>
        <v>NASDAQ</v>
      </c>
      <c r="D37" t="str">
        <f ca="1"/>
        <v>8.8/10</v>
      </c>
      <c r="E37">
        <f ca="1"/>
        <v>255.08</v>
      </c>
      <c r="F37">
        <f ca="1"/>
        <v>200</v>
      </c>
      <c r="G37">
        <f ca="1"/>
        <v>250</v>
      </c>
      <c r="H37">
        <f ca="1"/>
        <v>320</v>
      </c>
      <c r="I37">
        <f ca="1"/>
        <v>400</v>
      </c>
      <c r="J37">
        <f ca="1"/>
        <v>211</v>
      </c>
      <c r="K37">
        <f ca="1"/>
        <v>254</v>
      </c>
      <c r="L37">
        <f ca="1"/>
        <v>307</v>
      </c>
      <c r="M37" t="str">
        <f ca="1"/>
        <v>Fair Value / Hold</v>
      </c>
      <c r="N37">
        <f ca="1"/>
        <v>-0.4</v>
      </c>
      <c r="O37" t="str">
        <f ca="1"/>
        <v>Multi-moat giant; AWS 31% cloud share, 22.3% ROE. At value zone ($250)</v>
      </c>
    </row>
    <row r="38" spans="1:15" x14ac:dyDescent="0.2">
      <c r="A38" t="str">
        <f ca="1"/>
        <v>Broadcom</v>
      </c>
      <c r="B38" t="e" vm="85">
        <f ca="1"/>
        <v>#VALUE!</v>
      </c>
      <c r="C38" t="str">
        <f ca="1"/>
        <v>NASDAQ</v>
      </c>
      <c r="D38" t="str">
        <f ca="1"/>
        <v>8.8/10</v>
      </c>
      <c r="E38">
        <f ca="1"/>
        <v>419.94</v>
      </c>
      <c r="F38">
        <f ca="1"/>
        <v>250</v>
      </c>
      <c r="G38">
        <f ca="1"/>
        <v>325</v>
      </c>
      <c r="H38">
        <f ca="1"/>
        <v>425</v>
      </c>
      <c r="I38">
        <f ca="1"/>
        <v>550</v>
      </c>
      <c r="J38">
        <f ca="1"/>
        <v>125</v>
      </c>
      <c r="K38">
        <f ca="1"/>
        <v>182</v>
      </c>
      <c r="L38">
        <f ca="1"/>
        <v>265</v>
      </c>
      <c r="M38" t="str">
        <f ca="1"/>
        <v>Fair Value / Hold</v>
      </c>
      <c r="N38">
        <f ca="1"/>
        <v>-56.7</v>
      </c>
      <c r="O38" t="str">
        <f ca="1"/>
        <v>AI data center toll bridge; 42% FCF margin, 68% gross margins, elite mgmt</v>
      </c>
    </row>
    <row r="39" spans="1:15" x14ac:dyDescent="0.2">
      <c r="A39" t="str">
        <f ca="1"/>
        <v>Meta Platforms</v>
      </c>
      <c r="B39" t="e" vm="86">
        <f ca="1"/>
        <v>#VALUE!</v>
      </c>
      <c r="C39" t="str">
        <f ca="1"/>
        <v>NASDAQ</v>
      </c>
      <c r="D39" t="str">
        <f ca="1"/>
        <v>8/10</v>
      </c>
      <c r="E39">
        <f ca="1"/>
        <v>659.15</v>
      </c>
      <c r="F39">
        <f ca="1"/>
        <v>445</v>
      </c>
      <c r="G39">
        <f ca="1"/>
        <v>594</v>
      </c>
      <c r="H39">
        <f ca="1"/>
        <v>743</v>
      </c>
      <c r="I39">
        <f ca="1"/>
        <v>950</v>
      </c>
      <c r="J39">
        <f ca="1"/>
        <v>634</v>
      </c>
      <c r="K39">
        <f ca="1"/>
        <v>926</v>
      </c>
      <c r="L39">
        <f ca="1"/>
        <v>1276</v>
      </c>
      <c r="M39" t="str">
        <f ca="1"/>
        <v>Fair Value / Hold</v>
      </c>
      <c r="N39">
        <f ca="1"/>
        <v>40.5</v>
      </c>
      <c r="O39" t="str">
        <f ca="1"/>
        <v>3.58B DAU ad monopoly; 82% gross margins, $46.1B FCF. AI capex risk</v>
      </c>
    </row>
    <row r="40" spans="1:15" x14ac:dyDescent="0.2">
      <c r="A40" t="str">
        <f ca="1"/>
        <v>Microsoft</v>
      </c>
      <c r="B40" t="e" vm="87">
        <f ca="1"/>
        <v>#VALUE!</v>
      </c>
      <c r="C40" t="str">
        <f ca="1"/>
        <v>NASDAQ</v>
      </c>
      <c r="D40" t="str">
        <f ca="1"/>
        <v>9.1/10</v>
      </c>
      <c r="E40">
        <f ca="1"/>
        <v>415.75</v>
      </c>
      <c r="F40">
        <f ca="1"/>
        <v>320</v>
      </c>
      <c r="G40">
        <f ca="1"/>
        <v>400</v>
      </c>
      <c r="H40">
        <f ca="1"/>
        <v>480</v>
      </c>
      <c r="I40">
        <f ca="1"/>
        <v>608</v>
      </c>
      <c r="J40">
        <f ca="1"/>
        <v>357</v>
      </c>
      <c r="K40">
        <f ca="1"/>
        <v>451</v>
      </c>
      <c r="L40">
        <f ca="1"/>
        <v>573</v>
      </c>
      <c r="M40" t="str">
        <f ca="1"/>
        <v>Fair Value / Hold</v>
      </c>
      <c r="N40">
        <f ca="1"/>
        <v>8.5</v>
      </c>
      <c r="O40" t="str">
        <f ca="1"/>
        <v>Enterprise toll bridge; 30%+ ROE, $51B net cash, AI/Azure widening moat</v>
      </c>
    </row>
    <row r="41" spans="1:15" x14ac:dyDescent="0.2">
      <c r="A41" t="str">
        <f ca="1"/>
        <v>NVIDIA</v>
      </c>
      <c r="B41" t="e" vm="88">
        <f ca="1"/>
        <v>#VALUE!</v>
      </c>
      <c r="C41" t="str">
        <f ca="1"/>
        <v>NASDAQ</v>
      </c>
      <c r="D41" t="str">
        <f ca="1"/>
        <v>9.7/10</v>
      </c>
      <c r="E41">
        <f ca="1"/>
        <v>199.64</v>
      </c>
      <c r="F41">
        <f ca="1"/>
        <v>130</v>
      </c>
      <c r="G41">
        <f ca="1"/>
        <v>170</v>
      </c>
      <c r="H41">
        <f ca="1"/>
        <v>220</v>
      </c>
      <c r="I41">
        <f ca="1"/>
        <v>280</v>
      </c>
      <c r="J41">
        <f ca="1"/>
        <v>132</v>
      </c>
      <c r="K41">
        <f ca="1"/>
        <v>193</v>
      </c>
      <c r="L41">
        <f ca="1"/>
        <v>274</v>
      </c>
      <c r="M41" t="str">
        <f ca="1"/>
        <v>Fair Value / Hold</v>
      </c>
      <c r="N41">
        <f ca="1"/>
        <v>-3.3</v>
      </c>
      <c r="O41" t="str">
        <f ca="1"/>
        <v>AI GPU monopoly; 55% net margins, 101% ROE, $55B net cash. Fair value at $200</v>
      </c>
    </row>
    <row r="42" spans="1:15" x14ac:dyDescent="0.2">
      <c r="A42" t="str">
        <f ca="1"/>
        <v>BLS International Services</v>
      </c>
      <c r="B42" t="e" vm="91">
        <f ca="1"/>
        <v>#VALUE!</v>
      </c>
      <c r="C42" t="str">
        <f ca="1"/>
        <v>NSE</v>
      </c>
      <c r="D42" t="str">
        <f ca="1"/>
        <v>8.5/10</v>
      </c>
      <c r="E42">
        <f ca="1"/>
        <v>275.52999999999997</v>
      </c>
      <c r="F42">
        <f ca="1"/>
        <v>188</v>
      </c>
      <c r="G42">
        <f ca="1"/>
        <v>250</v>
      </c>
      <c r="H42">
        <f ca="1"/>
        <v>344</v>
      </c>
      <c r="I42">
        <f ca="1"/>
        <v>470</v>
      </c>
      <c r="J42">
        <f ca="1"/>
        <v>316</v>
      </c>
      <c r="K42">
        <f ca="1"/>
        <v>487</v>
      </c>
      <c r="L42">
        <f ca="1"/>
        <v>653</v>
      </c>
      <c r="M42" t="str">
        <f ca="1"/>
        <v>Fair Value / Hold</v>
      </c>
      <c r="N42">
        <f ca="1"/>
        <v>76.8</v>
      </c>
      <c r="O42" t="str">
        <f ca="1"/>
        <v>Toll-bridge visa outsourcer; 30%+ ROE, 0.21 D/E, negative working capital</v>
      </c>
    </row>
    <row r="43" spans="1:15" x14ac:dyDescent="0.2">
      <c r="A43" t="str">
        <f ca="1"/>
        <v>CMS Info Systems</v>
      </c>
      <c r="B43" t="e" vm="94">
        <f ca="1"/>
        <v>#VALUE!</v>
      </c>
      <c r="C43" t="str">
        <f ca="1"/>
        <v>NSE</v>
      </c>
      <c r="D43" t="str">
        <f ca="1"/>
        <v>7.6/10</v>
      </c>
      <c r="E43">
        <f ca="1"/>
        <v>302.14999999999998</v>
      </c>
      <c r="F43">
        <f ca="1"/>
        <v>240</v>
      </c>
      <c r="G43">
        <f ca="1"/>
        <v>240</v>
      </c>
      <c r="H43">
        <f ca="1"/>
        <v>320</v>
      </c>
      <c r="I43">
        <f ca="1"/>
        <v>500</v>
      </c>
      <c r="J43">
        <f ca="1"/>
        <v>438</v>
      </c>
      <c r="K43">
        <f ca="1"/>
        <v>671</v>
      </c>
      <c r="L43">
        <f ca="1"/>
        <v>943</v>
      </c>
      <c r="M43" t="str">
        <f ca="1"/>
        <v>Fair Value / Hold</v>
      </c>
      <c r="N43">
        <f ca="1"/>
        <v>122.1</v>
      </c>
      <c r="O43" t="str">
        <f ca="1"/>
        <v>Toll-bridge moat in cash management; 24% ROCE, zero debt, fortress balance sheet</v>
      </c>
    </row>
    <row r="44" spans="1:15" x14ac:dyDescent="0.2">
      <c r="A44" t="str">
        <f ca="1"/>
        <v>Godfrey Phillips India</v>
      </c>
      <c r="B44" t="e" vm="95">
        <f ca="1"/>
        <v>#VALUE!</v>
      </c>
      <c r="C44" t="str">
        <f ca="1"/>
        <v>NSE</v>
      </c>
      <c r="D44" t="str">
        <f ca="1"/>
        <v>8.4/10</v>
      </c>
      <c r="E44">
        <f ca="1"/>
        <v>2107.1999999999998</v>
      </c>
      <c r="F44">
        <f ca="1"/>
        <v>1646</v>
      </c>
      <c r="G44">
        <f ca="1"/>
        <v>1975</v>
      </c>
      <c r="H44">
        <f ca="1"/>
        <v>2305</v>
      </c>
      <c r="I44">
        <f ca="1"/>
        <v>2881</v>
      </c>
      <c r="J44">
        <f ca="1"/>
        <v>1777</v>
      </c>
      <c r="K44">
        <f ca="1"/>
        <v>2230</v>
      </c>
      <c r="L44">
        <f ca="1"/>
        <v>2838</v>
      </c>
      <c r="M44" t="str">
        <f ca="1"/>
        <v>Fair Value / Hold</v>
      </c>
      <c r="N44">
        <f ca="1"/>
        <v>5.8</v>
      </c>
      <c r="O44" t="str">
        <f ca="1"/>
        <v>Capital-light Marlboro franchise; 22.6% ROE, minimal debt, strong pricing power</v>
      </c>
    </row>
    <row r="45" spans="1:15" x14ac:dyDescent="0.2">
      <c r="A45" t="str">
        <f ca="1"/>
        <v>NMDC</v>
      </c>
      <c r="B45" t="e" vm="101">
        <f ca="1"/>
        <v>#VALUE!</v>
      </c>
      <c r="C45" t="str">
        <f ca="1"/>
        <v>NSE</v>
      </c>
      <c r="D45" t="str">
        <f ca="1"/>
        <v>6/10</v>
      </c>
      <c r="E45">
        <f ca="1"/>
        <v>89.29</v>
      </c>
      <c r="F45">
        <f ca="1"/>
        <v>55</v>
      </c>
      <c r="G45">
        <f ca="1"/>
        <v>74</v>
      </c>
      <c r="H45">
        <f ca="1"/>
        <v>103</v>
      </c>
      <c r="I45">
        <f ca="1"/>
        <v>129</v>
      </c>
      <c r="J45">
        <f ca="1"/>
        <v>135</v>
      </c>
      <c r="K45">
        <f ca="1"/>
        <v>171</v>
      </c>
      <c r="L45">
        <f ca="1"/>
        <v>218</v>
      </c>
      <c r="M45" t="str">
        <f ca="1"/>
        <v>Fair Value / Hold</v>
      </c>
      <c r="N45">
        <f ca="1"/>
        <v>91.5</v>
      </c>
      <c r="O45" t="str">
        <f ca="1"/>
        <v>Low-cost iron ore producer; 34% OPM, 23.6% ROE, fortress balance sheet. Commodity risk</v>
      </c>
    </row>
  </sheetData>
  <mergeCells count="2">
    <mergeCell ref="A1:O1"/>
    <mergeCell ref="A2:O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8C00"/>
  </sheetPr>
  <dimension ref="A1:O34"/>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2" t="s">
        <v>340</v>
      </c>
      <c r="B1" s="32"/>
      <c r="C1" s="32"/>
      <c r="D1" s="32"/>
      <c r="E1" s="32"/>
      <c r="F1" s="32"/>
      <c r="G1" s="32"/>
      <c r="H1" s="32"/>
      <c r="I1" s="32"/>
      <c r="J1" s="32"/>
      <c r="K1" s="32"/>
      <c r="L1" s="32"/>
      <c r="M1" s="32"/>
      <c r="N1" s="32"/>
      <c r="O1" s="32"/>
    </row>
    <row r="2" spans="1:15" x14ac:dyDescent="0.2">
      <c r="A2" s="29" t="s">
        <v>341</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328</v>
      </c>
      <c r="G3" s="10" t="s">
        <v>329</v>
      </c>
      <c r="H3" s="10" t="s">
        <v>330</v>
      </c>
      <c r="I3" s="10" t="s">
        <v>331</v>
      </c>
      <c r="J3" s="10" t="s">
        <v>332</v>
      </c>
      <c r="K3" s="10" t="s">
        <v>333</v>
      </c>
      <c r="L3" s="10" t="s">
        <v>334</v>
      </c>
      <c r="M3" s="10" t="s">
        <v>47</v>
      </c>
      <c r="N3" s="10" t="s">
        <v>335</v>
      </c>
      <c r="O3" s="10" t="s">
        <v>49</v>
      </c>
    </row>
    <row r="4" spans="1:15" x14ac:dyDescent="0.2">
      <c r="A4" t="str" cm="1">
        <f t="array" aca="1" ref="A4:O34" ca="1">_xlfn._xlws.FILTER('All Companies'!B3:P114,'All Companies'!N3:N114="Fully Valued / Trim","No companies in this zone currently - enter prices in All Companies sheet")</f>
        <v>Bharat Electronics</v>
      </c>
      <c r="B4" t="e" vm="13">
        <f ca="1"/>
        <v>#VALUE!</v>
      </c>
      <c r="C4" t="str">
        <f ca="1"/>
        <v>NSE</v>
      </c>
      <c r="D4" t="str">
        <f ca="1"/>
        <v>9/10</v>
      </c>
      <c r="E4">
        <f ca="1"/>
        <v>444.45</v>
      </c>
      <c r="F4">
        <f ca="1"/>
        <v>200</v>
      </c>
      <c r="G4">
        <f ca="1"/>
        <v>280</v>
      </c>
      <c r="H4">
        <f ca="1"/>
        <v>374</v>
      </c>
      <c r="I4">
        <f ca="1"/>
        <v>450</v>
      </c>
      <c r="J4">
        <f ca="1"/>
        <v>223</v>
      </c>
      <c r="K4">
        <f ca="1"/>
        <v>374</v>
      </c>
      <c r="L4">
        <f ca="1"/>
        <v>530</v>
      </c>
      <c r="M4" t="str">
        <f ca="1"/>
        <v>Fully Valued / Trim</v>
      </c>
      <c r="N4">
        <f ca="1"/>
        <v>-15.9</v>
      </c>
      <c r="O4" t="str">
        <f ca="1"/>
        <v>Govt monopoly defence electronics; 39% ROCE, debt-free. Rs73,450 Cr order book</v>
      </c>
    </row>
    <row r="5" spans="1:15" x14ac:dyDescent="0.2">
      <c r="A5" t="str">
        <f ca="1"/>
        <v>Bharti Airtel</v>
      </c>
      <c r="B5" t="e" vm="14">
        <f ca="1"/>
        <v>#VALUE!</v>
      </c>
      <c r="C5" t="str">
        <f ca="1"/>
        <v>NSE</v>
      </c>
      <c r="D5" t="str">
        <f ca="1"/>
        <v>8.2/10</v>
      </c>
      <c r="E5">
        <f ca="1"/>
        <v>1814.5</v>
      </c>
      <c r="F5">
        <f ca="1"/>
        <v>1200</v>
      </c>
      <c r="G5">
        <f ca="1"/>
        <v>1500</v>
      </c>
      <c r="H5">
        <f ca="1"/>
        <v>1800</v>
      </c>
      <c r="I5">
        <f ca="1"/>
        <v>2200</v>
      </c>
      <c r="J5">
        <f ca="1"/>
        <v>1400</v>
      </c>
      <c r="K5">
        <f ca="1"/>
        <v>3572</v>
      </c>
      <c r="L5">
        <f ca="1"/>
        <v>4500</v>
      </c>
      <c r="M5" t="str">
        <f ca="1"/>
        <v>Fully Valued / Trim</v>
      </c>
      <c r="N5">
        <f ca="1"/>
        <v>96.9</v>
      </c>
      <c r="O5" t="str">
        <f ca="1"/>
        <v>Telecom oligopoly toll-bridge; 57% operating margins, 65% profit CAGR</v>
      </c>
    </row>
    <row r="6" spans="1:15" x14ac:dyDescent="0.2">
      <c r="A6" t="str">
        <f ca="1"/>
        <v>Groww (Billionbrains)</v>
      </c>
      <c r="B6" t="e" vm="15">
        <f ca="1"/>
        <v>#VALUE!</v>
      </c>
      <c r="C6" t="str">
        <f ca="1"/>
        <v>NSE</v>
      </c>
      <c r="D6" t="str">
        <f ca="1"/>
        <v>7.8/10</v>
      </c>
      <c r="E6">
        <f ca="1"/>
        <v>218.02</v>
      </c>
      <c r="F6">
        <f ca="1"/>
        <v>95</v>
      </c>
      <c r="G6">
        <f ca="1"/>
        <v>119</v>
      </c>
      <c r="H6">
        <f ca="1"/>
        <v>187</v>
      </c>
      <c r="I6">
        <f ca="1"/>
        <v>259</v>
      </c>
      <c r="J6">
        <f ca="1"/>
        <v>119</v>
      </c>
      <c r="K6">
        <f ca="1"/>
        <v>259</v>
      </c>
      <c r="L6">
        <f ca="1"/>
        <v>350</v>
      </c>
      <c r="M6" t="str">
        <f ca="1"/>
        <v>Fully Valued / Trim</v>
      </c>
      <c r="N6">
        <f ca="1"/>
        <v>18.8</v>
      </c>
      <c r="O6" t="str">
        <f ca="1"/>
        <v>62% EBITDA margins, 50% ROE. RISK: 53% revenue from derivatives (SEBI crackdown)</v>
      </c>
    </row>
    <row r="7" spans="1:15" x14ac:dyDescent="0.2">
      <c r="A7" t="str">
        <f ca="1"/>
        <v>Federal Bank</v>
      </c>
      <c r="B7" t="e" vm="29">
        <f ca="1"/>
        <v>#VALUE!</v>
      </c>
      <c r="C7" t="str">
        <f ca="1"/>
        <v>NSE</v>
      </c>
      <c r="D7" t="str">
        <f ca="1"/>
        <v>7.4/10</v>
      </c>
      <c r="E7">
        <f ca="1"/>
        <v>293</v>
      </c>
      <c r="F7">
        <f ca="1"/>
        <v>147</v>
      </c>
      <c r="G7">
        <f ca="1"/>
        <v>206</v>
      </c>
      <c r="H7">
        <f ca="1"/>
        <v>265</v>
      </c>
      <c r="I7">
        <f ca="1"/>
        <v>310</v>
      </c>
      <c r="J7">
        <f ca="1"/>
        <v>206</v>
      </c>
      <c r="K7">
        <f ca="1"/>
        <v>265</v>
      </c>
      <c r="L7">
        <f ca="1"/>
        <v>330</v>
      </c>
      <c r="M7" t="str">
        <f ca="1"/>
        <v>Fully Valued / Trim</v>
      </c>
      <c r="N7">
        <f ca="1"/>
        <v>-9.6</v>
      </c>
      <c r="O7" t="str">
        <f ca="1"/>
        <v>Clean bank, NRI remittance moat. CASA 32% weak; stretched at 1.86x P/B</v>
      </c>
    </row>
    <row r="8" spans="1:15" x14ac:dyDescent="0.2">
      <c r="A8" t="str">
        <f ca="1"/>
        <v>Force Motors</v>
      </c>
      <c r="B8" t="e" vm="30">
        <f ca="1"/>
        <v>#VALUE!</v>
      </c>
      <c r="C8" t="str">
        <f ca="1"/>
        <v>NSE</v>
      </c>
      <c r="D8" t="str">
        <f ca="1"/>
        <v>7.7/10</v>
      </c>
      <c r="E8">
        <f ca="1"/>
        <v>20347</v>
      </c>
      <c r="F8">
        <f ca="1"/>
        <v>10500</v>
      </c>
      <c r="G8">
        <f ca="1"/>
        <v>14000</v>
      </c>
      <c r="H8">
        <f ca="1"/>
        <v>18096</v>
      </c>
      <c r="I8">
        <f ca="1"/>
        <v>22000</v>
      </c>
      <c r="J8">
        <f ca="1"/>
        <v>10523</v>
      </c>
      <c r="K8">
        <f ca="1"/>
        <v>18096</v>
      </c>
      <c r="L8">
        <f ca="1"/>
        <v>29287</v>
      </c>
      <c r="M8" t="str">
        <f ca="1"/>
        <v>Fully Valued / Trim</v>
      </c>
      <c r="N8">
        <f ca="1"/>
        <v>-11.1</v>
      </c>
      <c r="O8" t="str">
        <f ca="1"/>
        <v>Traveller near-monopoly; Mercedes/BMW component supply. ROE surged -6.5% to 30.3%</v>
      </c>
    </row>
    <row r="9" spans="1:15" x14ac:dyDescent="0.2">
      <c r="A9" t="str">
        <f ca="1"/>
        <v>Ganesh Housing</v>
      </c>
      <c r="B9" t="e" vm="31">
        <f ca="1"/>
        <v>#VALUE!</v>
      </c>
      <c r="C9" t="str">
        <f ca="1"/>
        <v>NSE</v>
      </c>
      <c r="D9" t="str">
        <f ca="1"/>
        <v>6.7/10</v>
      </c>
      <c r="E9">
        <f ca="1"/>
        <v>644.79999999999995</v>
      </c>
      <c r="F9">
        <f ca="1"/>
        <v>350</v>
      </c>
      <c r="G9">
        <f ca="1"/>
        <v>500</v>
      </c>
      <c r="H9">
        <f ca="1"/>
        <v>624</v>
      </c>
      <c r="I9">
        <f ca="1"/>
        <v>800</v>
      </c>
      <c r="J9">
        <f ca="1"/>
        <v>400</v>
      </c>
      <c r="K9">
        <f ca="1"/>
        <v>624</v>
      </c>
      <c r="L9">
        <f ca="1"/>
        <v>900</v>
      </c>
      <c r="M9" t="str">
        <f ca="1"/>
        <v>Fully Valued / Trim</v>
      </c>
      <c r="N9">
        <f ca="1"/>
        <v>-3.2</v>
      </c>
      <c r="O9" t="str">
        <f ca="1"/>
        <v>Fortress balance sheet; 35M sq ft land bank, 73% promoter. Cyclical risk</v>
      </c>
    </row>
    <row r="10" spans="1:15" x14ac:dyDescent="0.2">
      <c r="A10" t="str">
        <f ca="1"/>
        <v>Indian Bank</v>
      </c>
      <c r="B10" t="e" vm="38">
        <f ca="1"/>
        <v>#VALUE!</v>
      </c>
      <c r="C10" t="str">
        <f ca="1"/>
        <v>NSE</v>
      </c>
      <c r="D10" t="str">
        <f ca="1"/>
        <v>7.4/10</v>
      </c>
      <c r="E10">
        <f ca="1"/>
        <v>909.9</v>
      </c>
      <c r="F10">
        <f ca="1"/>
        <v>500</v>
      </c>
      <c r="G10">
        <f ca="1"/>
        <v>770</v>
      </c>
      <c r="H10">
        <f ca="1"/>
        <v>900</v>
      </c>
      <c r="I10">
        <f ca="1"/>
        <v>1100</v>
      </c>
      <c r="J10">
        <f ca="1"/>
        <v>770</v>
      </c>
      <c r="K10">
        <f ca="1"/>
        <v>900</v>
      </c>
      <c r="L10">
        <f ca="1"/>
        <v>1500</v>
      </c>
      <c r="M10" t="str">
        <f ca="1"/>
        <v>Fully Valued / Trim</v>
      </c>
      <c r="N10">
        <f ca="1"/>
        <v>-1.1000000000000001</v>
      </c>
      <c r="O10" t="str">
        <f ca="1"/>
        <v>PSB turnaround; ROE 17%, GNPA 2.2%, 33% cost-to-income. PSU governance risk</v>
      </c>
    </row>
    <row r="11" spans="1:15" x14ac:dyDescent="0.2">
      <c r="A11" t="str">
        <f ca="1"/>
        <v>International Conveyors</v>
      </c>
      <c r="B11" t="e" vm="42">
        <f ca="1"/>
        <v>#VALUE!</v>
      </c>
      <c r="C11" t="str">
        <f ca="1"/>
        <v>NSE</v>
      </c>
      <c r="D11" t="str">
        <f ca="1"/>
        <v>5.2/10</v>
      </c>
      <c r="E11">
        <f ca="1"/>
        <v>76.8</v>
      </c>
      <c r="F11">
        <f ca="1"/>
        <v>40</v>
      </c>
      <c r="G11">
        <f ca="1"/>
        <v>55</v>
      </c>
      <c r="H11">
        <f ca="1"/>
        <v>72</v>
      </c>
      <c r="I11">
        <f ca="1"/>
        <v>92</v>
      </c>
      <c r="J11">
        <f ca="1"/>
        <v>55</v>
      </c>
      <c r="K11">
        <f ca="1"/>
        <v>88</v>
      </c>
      <c r="L11">
        <f ca="1"/>
        <v>120</v>
      </c>
      <c r="M11" t="str">
        <f ca="1"/>
        <v>Fully Valued / Trim</v>
      </c>
      <c r="N11">
        <f ca="1"/>
        <v>14.6</v>
      </c>
      <c r="O11" t="str">
        <f ca="1"/>
        <v>Niche PVC conveyor belt maker; 85% coal-dependent. Investment portfolio = 64% of mcap</v>
      </c>
    </row>
    <row r="12" spans="1:15" x14ac:dyDescent="0.2">
      <c r="A12" t="str">
        <f ca="1"/>
        <v>IRCTC</v>
      </c>
      <c r="B12" t="e" vm="43">
        <f ca="1"/>
        <v>#VALUE!</v>
      </c>
      <c r="C12" t="str">
        <f ca="1"/>
        <v>NSE</v>
      </c>
      <c r="D12" t="str">
        <f ca="1"/>
        <v>8.4/10</v>
      </c>
      <c r="E12">
        <f ca="1"/>
        <v>541.20000000000005</v>
      </c>
      <c r="F12">
        <f ca="1"/>
        <v>300</v>
      </c>
      <c r="G12">
        <f ca="1"/>
        <v>400</v>
      </c>
      <c r="H12">
        <f ca="1"/>
        <v>450</v>
      </c>
      <c r="I12">
        <f ca="1"/>
        <v>565</v>
      </c>
      <c r="J12">
        <f ca="1"/>
        <v>356</v>
      </c>
      <c r="K12">
        <f ca="1"/>
        <v>445</v>
      </c>
      <c r="L12">
        <f ca="1"/>
        <v>600</v>
      </c>
      <c r="M12" t="str">
        <f ca="1"/>
        <v>Fully Valued / Trim</v>
      </c>
      <c r="N12">
        <f ca="1"/>
        <v>-17.8</v>
      </c>
      <c r="O12" t="str">
        <f ca="1"/>
        <v>Govt monopoly railway ticketing; 35%+ ROE, near-zero debt. Policy risk on convenience fee</v>
      </c>
    </row>
    <row r="13" spans="1:15" x14ac:dyDescent="0.2">
      <c r="A13" t="str">
        <f ca="1"/>
        <v>MRF Ltd</v>
      </c>
      <c r="B13" t="e" vm="56">
        <f ca="1"/>
        <v>#VALUE!</v>
      </c>
      <c r="C13" t="str">
        <f ca="1"/>
        <v>NSE</v>
      </c>
      <c r="D13" t="str">
        <f ca="1"/>
        <v>6.6/10</v>
      </c>
      <c r="E13">
        <f ca="1"/>
        <v>132145</v>
      </c>
      <c r="F13">
        <f ca="1"/>
        <v>82500</v>
      </c>
      <c r="G13">
        <f ca="1"/>
        <v>100850</v>
      </c>
      <c r="H13">
        <f ca="1"/>
        <v>128350</v>
      </c>
      <c r="I13">
        <f ca="1"/>
        <v>160440</v>
      </c>
      <c r="J13">
        <f ca="1"/>
        <v>90600</v>
      </c>
      <c r="K13">
        <f ca="1"/>
        <v>130400</v>
      </c>
      <c r="L13">
        <f ca="1"/>
        <v>201200</v>
      </c>
      <c r="M13" t="str">
        <f ca="1"/>
        <v>Fully Valued / Trim</v>
      </c>
      <c r="N13">
        <f ca="1"/>
        <v>-1.3</v>
      </c>
      <c r="O13" t="str">
        <f ca="1"/>
        <v>India's largest tyre maker; fortress balance sheet. Mediocre 10.5% ROE</v>
      </c>
    </row>
    <row r="14" spans="1:15" x14ac:dyDescent="0.2">
      <c r="A14" t="str">
        <f ca="1"/>
        <v>Nestle India</v>
      </c>
      <c r="B14" t="e" vm="57">
        <f ca="1"/>
        <v>#VALUE!</v>
      </c>
      <c r="C14" t="str">
        <f ca="1"/>
        <v>NSE</v>
      </c>
      <c r="D14" t="str">
        <f ca="1"/>
        <v>8.9/10</v>
      </c>
      <c r="E14">
        <f ca="1"/>
        <v>1421.3</v>
      </c>
      <c r="F14">
        <f ca="1"/>
        <v>688</v>
      </c>
      <c r="G14">
        <f ca="1"/>
        <v>946</v>
      </c>
      <c r="H14">
        <f ca="1"/>
        <v>1204</v>
      </c>
      <c r="I14">
        <f ca="1"/>
        <v>1462</v>
      </c>
      <c r="J14">
        <f ca="1"/>
        <v>408</v>
      </c>
      <c r="K14">
        <f ca="1"/>
        <v>602</v>
      </c>
      <c r="L14">
        <f ca="1"/>
        <v>792</v>
      </c>
      <c r="M14" t="str">
        <f ca="1"/>
        <v>Fully Valued / Trim</v>
      </c>
      <c r="N14">
        <f ca="1"/>
        <v>-57.6</v>
      </c>
      <c r="O14" t="str">
        <f ca="1"/>
        <v>MAGGI/NESCAFE/KIT KAT franchise; 96% ROCE, 27% ROA. 69x PE = no MoS</v>
      </c>
    </row>
    <row r="15" spans="1:15" x14ac:dyDescent="0.2">
      <c r="A15" t="str">
        <f ca="1"/>
        <v>Reliance Industries</v>
      </c>
      <c r="B15" t="e" vm="62">
        <f ca="1"/>
        <v>#VALUE!</v>
      </c>
      <c r="C15" t="str">
        <f ca="1"/>
        <v>NSE</v>
      </c>
      <c r="D15" t="str">
        <f ca="1"/>
        <v>5.7/10</v>
      </c>
      <c r="E15">
        <f ca="1"/>
        <v>1327.8</v>
      </c>
      <c r="F15">
        <f ca="1"/>
        <v>600</v>
      </c>
      <c r="G15">
        <f ca="1"/>
        <v>800</v>
      </c>
      <c r="H15">
        <f ca="1"/>
        <v>1050</v>
      </c>
      <c r="I15">
        <f ca="1"/>
        <v>1350</v>
      </c>
      <c r="J15">
        <f ca="1"/>
        <v>1074</v>
      </c>
      <c r="K15">
        <f ca="1"/>
        <v>1533</v>
      </c>
      <c r="L15">
        <f ca="1"/>
        <v>2368</v>
      </c>
      <c r="M15" t="str">
        <f ca="1"/>
        <v>Fully Valued / Trim</v>
      </c>
      <c r="N15">
        <f ca="1"/>
        <v>15.5</v>
      </c>
      <c r="O15" t="str">
        <f ca="1"/>
        <v>Jio oligopoly is Buffett-like; conglomerate dilutes quality. 8% ROE at 2.17x P/B</v>
      </c>
    </row>
    <row r="16" spans="1:15" x14ac:dyDescent="0.2">
      <c r="A16" t="str">
        <f ca="1"/>
        <v>Sacheerome Ltd</v>
      </c>
      <c r="B16" t="e" vm="63">
        <f ca="1"/>
        <v>#VALUE!</v>
      </c>
      <c r="C16" t="str">
        <f ca="1"/>
        <v>NSE</v>
      </c>
      <c r="D16" t="str">
        <f ca="1"/>
        <v>8.3/10</v>
      </c>
      <c r="E16">
        <f ca="1"/>
        <v>353.45</v>
      </c>
      <c r="F16">
        <f ca="1"/>
        <v>161</v>
      </c>
      <c r="G16">
        <f ca="1"/>
        <v>236</v>
      </c>
      <c r="H16">
        <f ca="1"/>
        <v>321</v>
      </c>
      <c r="I16">
        <f ca="1"/>
        <v>429</v>
      </c>
      <c r="J16">
        <f ca="1"/>
        <v>261</v>
      </c>
      <c r="K16">
        <f ca="1"/>
        <v>373</v>
      </c>
      <c r="L16">
        <f ca="1"/>
        <v>545</v>
      </c>
      <c r="M16" t="str">
        <f ca="1"/>
        <v>Fully Valued / Trim</v>
      </c>
      <c r="N16">
        <f ca="1"/>
        <v>5.5</v>
      </c>
      <c r="O16" t="str">
        <f ca="1"/>
        <v>B2B fragrance niche; 39% ROCE, debt-free, 52% EPS CAGR, switching costs</v>
      </c>
    </row>
    <row r="17" spans="1:15" x14ac:dyDescent="0.2">
      <c r="A17" t="str">
        <f ca="1"/>
        <v>Shilchar Technologies</v>
      </c>
      <c r="B17" t="e" vm="64">
        <f ca="1"/>
        <v>#VALUE!</v>
      </c>
      <c r="C17" t="str">
        <f ca="1"/>
        <v>NSE</v>
      </c>
      <c r="D17" t="str">
        <f ca="1"/>
        <v>8.5/10</v>
      </c>
      <c r="E17">
        <f ca="1"/>
        <v>5016.3</v>
      </c>
      <c r="F17">
        <f ca="1"/>
        <v>2400</v>
      </c>
      <c r="G17">
        <f ca="1"/>
        <v>3200</v>
      </c>
      <c r="H17">
        <f ca="1"/>
        <v>4500</v>
      </c>
      <c r="I17">
        <f ca="1"/>
        <v>5600</v>
      </c>
      <c r="J17">
        <f ca="1"/>
        <v>4050</v>
      </c>
      <c r="K17">
        <f ca="1"/>
        <v>4930</v>
      </c>
      <c r="L17">
        <f ca="1"/>
        <v>10000</v>
      </c>
      <c r="M17" t="str">
        <f ca="1"/>
        <v>Fully Valued / Trim</v>
      </c>
      <c r="N17">
        <f ca="1"/>
        <v>-1.7</v>
      </c>
      <c r="O17" t="str">
        <f ca="1"/>
        <v>Transformer maker; 71% ROCE, zero debt, 37% book value CAGR, export growth</v>
      </c>
    </row>
    <row r="18" spans="1:15" x14ac:dyDescent="0.2">
      <c r="A18" t="str">
        <f ca="1"/>
        <v>Swaraj Engines</v>
      </c>
      <c r="B18" t="e" vm="72">
        <f ca="1"/>
        <v>#VALUE!</v>
      </c>
      <c r="C18" t="str">
        <f ca="1"/>
        <v>NSE</v>
      </c>
      <c r="D18" t="str">
        <f ca="1"/>
        <v>8/10</v>
      </c>
      <c r="E18">
        <f ca="1"/>
        <v>3863</v>
      </c>
      <c r="F18">
        <f ca="1"/>
        <v>2000</v>
      </c>
      <c r="G18">
        <f ca="1"/>
        <v>2700</v>
      </c>
      <c r="H18">
        <f ca="1"/>
        <v>3600</v>
      </c>
      <c r="I18">
        <f ca="1"/>
        <v>4500</v>
      </c>
      <c r="J18">
        <f ca="1"/>
        <v>3377</v>
      </c>
      <c r="K18">
        <f ca="1"/>
        <v>5014</v>
      </c>
      <c r="L18">
        <f ca="1"/>
        <v>6335</v>
      </c>
      <c r="M18" t="str">
        <f ca="1"/>
        <v>Fully Valued / Trim</v>
      </c>
      <c r="N18">
        <f ca="1"/>
        <v>29.8</v>
      </c>
      <c r="O18" t="str">
        <f ca="1"/>
        <v>Captive Mahindra supplier; 42% ROE, 56% ROCE, zero debt, 80% payout</v>
      </c>
    </row>
    <row r="19" spans="1:15" x14ac:dyDescent="0.2">
      <c r="A19" t="str">
        <f ca="1"/>
        <v>Titan Company</v>
      </c>
      <c r="B19" t="e" vm="78">
        <f ca="1"/>
        <v>#VALUE!</v>
      </c>
      <c r="C19" t="str">
        <f ca="1"/>
        <v>NSE</v>
      </c>
      <c r="D19" t="str">
        <f ca="1"/>
        <v>8.3/10</v>
      </c>
      <c r="E19">
        <f ca="1"/>
        <v>4410</v>
      </c>
      <c r="F19">
        <f ca="1"/>
        <v>1850</v>
      </c>
      <c r="G19">
        <f ca="1"/>
        <v>2550</v>
      </c>
      <c r="H19">
        <f ca="1"/>
        <v>3500</v>
      </c>
      <c r="I19">
        <f ca="1"/>
        <v>4650</v>
      </c>
      <c r="J19">
        <f ca="1"/>
        <v>2181</v>
      </c>
      <c r="K19">
        <f ca="1"/>
        <v>3946</v>
      </c>
      <c r="L19">
        <f ca="1"/>
        <v>6525</v>
      </c>
      <c r="M19" t="str">
        <f ca="1"/>
        <v>Fully Valued / Trim</v>
      </c>
      <c r="N19">
        <f ca="1"/>
        <v>-10.5</v>
      </c>
      <c r="O19" t="str">
        <f ca="1"/>
        <v>Trust-based jewellery moat; 9/10 quality, 30%+ ROE. 89x PE = no MoS</v>
      </c>
    </row>
    <row r="20" spans="1:15" x14ac:dyDescent="0.2">
      <c r="A20" t="str">
        <f ca="1"/>
        <v>TVS Motor</v>
      </c>
      <c r="B20" t="e" vm="80">
        <f ca="1"/>
        <v>#VALUE!</v>
      </c>
      <c r="C20" t="str">
        <f ca="1"/>
        <v>NSE</v>
      </c>
      <c r="D20" t="str">
        <f ca="1"/>
        <v>8.5/10</v>
      </c>
      <c r="E20">
        <f ca="1"/>
        <v>3488.2</v>
      </c>
      <c r="F20">
        <f ca="1"/>
        <v>1500</v>
      </c>
      <c r="G20">
        <f ca="1"/>
        <v>2100</v>
      </c>
      <c r="H20">
        <f ca="1"/>
        <v>2800</v>
      </c>
      <c r="I20">
        <f ca="1"/>
        <v>3500</v>
      </c>
      <c r="J20">
        <f ca="1"/>
        <v>1487</v>
      </c>
      <c r="K20">
        <f ca="1"/>
        <v>3007</v>
      </c>
      <c r="L20">
        <f ca="1"/>
        <v>5369</v>
      </c>
      <c r="M20" t="str">
        <f ca="1"/>
        <v>Fully Valued / Trim</v>
      </c>
      <c r="N20">
        <f ca="1"/>
        <v>-13.8</v>
      </c>
      <c r="O20" t="str">
        <f ca="1"/>
        <v>India's 3rd largest 2W; 30% ROE, EV leader (iQube). 57x PE = fully valued</v>
      </c>
    </row>
    <row r="21" spans="1:15" x14ac:dyDescent="0.2">
      <c r="A21" t="str">
        <f ca="1"/>
        <v>Varun Beverages</v>
      </c>
      <c r="B21" t="e" vm="81">
        <f ca="1"/>
        <v>#VALUE!</v>
      </c>
      <c r="C21" t="str">
        <f ca="1"/>
        <v>NSE</v>
      </c>
      <c r="D21" t="str">
        <f ca="1"/>
        <v>8/10</v>
      </c>
      <c r="E21">
        <f ca="1"/>
        <v>490.45</v>
      </c>
      <c r="F21">
        <f ca="1"/>
        <v>225</v>
      </c>
      <c r="G21">
        <f ca="1"/>
        <v>288</v>
      </c>
      <c r="H21">
        <f ca="1"/>
        <v>377</v>
      </c>
      <c r="I21">
        <f ca="1"/>
        <v>494</v>
      </c>
      <c r="J21">
        <f ca="1"/>
        <v>248</v>
      </c>
      <c r="K21">
        <f ca="1"/>
        <v>402</v>
      </c>
      <c r="L21">
        <f ca="1"/>
        <v>562</v>
      </c>
      <c r="M21" t="str">
        <f ca="1"/>
        <v>Fully Valued / Trim</v>
      </c>
      <c r="N21">
        <f ca="1"/>
        <v>-18</v>
      </c>
      <c r="O21" t="str">
        <f ca="1"/>
        <v>Largest PepsiCo bottler globally; 20% ROCE, consumer franchise. 45.8x PE</v>
      </c>
    </row>
    <row r="22" spans="1:15" x14ac:dyDescent="0.2">
      <c r="A22" t="str">
        <f ca="1"/>
        <v>Britannia Industries</v>
      </c>
      <c r="B22" t="e" vm="93">
        <f ca="1"/>
        <v>#VALUE!</v>
      </c>
      <c r="C22" t="str">
        <f ca="1"/>
        <v>NSE</v>
      </c>
      <c r="D22" t="str">
        <f ca="1"/>
        <v>8.6/10</v>
      </c>
      <c r="E22">
        <f ca="1"/>
        <v>5730.5</v>
      </c>
      <c r="F22">
        <f ca="1"/>
        <v>2700</v>
      </c>
      <c r="G22">
        <f ca="1"/>
        <v>3600</v>
      </c>
      <c r="H22">
        <f ca="1"/>
        <v>5000</v>
      </c>
      <c r="I22">
        <f ca="1"/>
        <v>5900</v>
      </c>
      <c r="J22">
        <f ca="1"/>
        <v>2030</v>
      </c>
      <c r="K22">
        <f ca="1"/>
        <v>2369</v>
      </c>
      <c r="L22">
        <f ca="1"/>
        <v>3281</v>
      </c>
      <c r="M22" t="str">
        <f ca="1"/>
        <v>Fully Valued / Trim</v>
      </c>
      <c r="N22">
        <f ca="1"/>
        <v>-58.7</v>
      </c>
      <c r="O22" t="str">
        <f ca="1"/>
        <v>#1 biscuits (33% share); 132-yr franchise, ROCE 53%, ROE 52.5%, zero dilution, 78% FCF conversion</v>
      </c>
    </row>
    <row r="23" spans="1:15" x14ac:dyDescent="0.2">
      <c r="A23" t="str">
        <f ca="1"/>
        <v>Hindustan Aeronautics</v>
      </c>
      <c r="B23" t="e" vm="96">
        <f ca="1"/>
        <v>#VALUE!</v>
      </c>
      <c r="C23" t="str">
        <f ca="1"/>
        <v>NSE</v>
      </c>
      <c r="D23" t="str">
        <f ca="1"/>
        <v>8.6/10</v>
      </c>
      <c r="E23">
        <f ca="1"/>
        <v>4265.8</v>
      </c>
      <c r="F23">
        <f ca="1"/>
        <v>2400</v>
      </c>
      <c r="G23">
        <f ca="1"/>
        <v>3200</v>
      </c>
      <c r="H23">
        <f ca="1"/>
        <v>4000</v>
      </c>
      <c r="I23">
        <f ca="1"/>
        <v>4800</v>
      </c>
      <c r="J23">
        <f ca="1"/>
        <v>2459</v>
      </c>
      <c r="K23">
        <f ca="1"/>
        <v>4111</v>
      </c>
      <c r="L23">
        <f ca="1"/>
        <v>6586</v>
      </c>
      <c r="M23" t="str">
        <f ca="1"/>
        <v>Fully Valued / Trim</v>
      </c>
      <c r="N23">
        <f ca="1"/>
        <v>-3.6</v>
      </c>
      <c r="O23" t="str">
        <f ca="1"/>
        <v>Govt monopoly defence; 30-40yr switching costs, debt-free, Rs2.54L Cr order book</v>
      </c>
    </row>
    <row r="24" spans="1:15" x14ac:dyDescent="0.2">
      <c r="A24" t="str">
        <f ca="1"/>
        <v>Indian Railway Finance Corp</v>
      </c>
      <c r="B24" t="e" vm="97">
        <f ca="1"/>
        <v>#VALUE!</v>
      </c>
      <c r="C24" t="str">
        <f ca="1"/>
        <v>NSE</v>
      </c>
      <c r="D24" t="str">
        <f ca="1"/>
        <v>7.4/10</v>
      </c>
      <c r="E24">
        <f ca="1"/>
        <v>103.92</v>
      </c>
      <c r="F24">
        <f ca="1"/>
        <v>52</v>
      </c>
      <c r="G24">
        <f ca="1"/>
        <v>69</v>
      </c>
      <c r="H24">
        <f ca="1"/>
        <v>86</v>
      </c>
      <c r="I24">
        <f ca="1"/>
        <v>107</v>
      </c>
      <c r="J24">
        <f ca="1"/>
        <v>43</v>
      </c>
      <c r="K24">
        <f ca="1"/>
        <v>60</v>
      </c>
      <c r="L24">
        <f ca="1"/>
        <v>91</v>
      </c>
      <c r="M24" t="str">
        <f ca="1"/>
        <v>Fully Valued / Trim</v>
      </c>
      <c r="N24">
        <f ca="1"/>
        <v>-42.3</v>
      </c>
      <c r="O24" t="str">
        <f ca="1"/>
        <v>Gov-backed NBFC; zero credit risk, 13% ROE, thin NIM 1.37%. Zero moat premium</v>
      </c>
    </row>
    <row r="25" spans="1:15" x14ac:dyDescent="0.2">
      <c r="A25" t="str">
        <f ca="1"/>
        <v>JSW Dulux</v>
      </c>
      <c r="B25" t="e" vm="98">
        <f ca="1"/>
        <v>#VALUE!</v>
      </c>
      <c r="C25" t="str">
        <f ca="1"/>
        <v>NSE</v>
      </c>
      <c r="D25" t="str">
        <f ca="1"/>
        <v>7.8/10</v>
      </c>
      <c r="E25">
        <f ca="1"/>
        <v>2947.8</v>
      </c>
      <c r="F25">
        <f ca="1"/>
        <v>1440</v>
      </c>
      <c r="G25">
        <f ca="1"/>
        <v>2016</v>
      </c>
      <c r="H25">
        <f ca="1"/>
        <v>2520</v>
      </c>
      <c r="I25">
        <f ca="1"/>
        <v>3240</v>
      </c>
      <c r="J25">
        <f ca="1"/>
        <v>1446</v>
      </c>
      <c r="K25">
        <f ca="1"/>
        <v>2074</v>
      </c>
      <c r="L25">
        <f ca="1"/>
        <v>2512</v>
      </c>
      <c r="M25" t="str">
        <f ca="1"/>
        <v>Fully Valued / Trim</v>
      </c>
      <c r="N25">
        <f ca="1"/>
        <v>-29.6</v>
      </c>
      <c r="O25" t="str">
        <f ca="1"/>
        <v>Elite 42% ROCE, zero debt, Dulux brand moat. Rising competitive pressure in paints</v>
      </c>
    </row>
    <row r="26" spans="1:15" x14ac:dyDescent="0.2">
      <c r="A26" t="str">
        <f ca="1"/>
        <v>Jupiter Wagons</v>
      </c>
      <c r="B26" t="e" vm="99">
        <f ca="1"/>
        <v>#VALUE!</v>
      </c>
      <c r="C26" t="str">
        <f ca="1"/>
        <v>NSE</v>
      </c>
      <c r="D26" t="str">
        <f ca="1"/>
        <v>6.6/10</v>
      </c>
      <c r="E26">
        <f ca="1"/>
        <v>279.12</v>
      </c>
      <c r="F26">
        <f ca="1"/>
        <v>165</v>
      </c>
      <c r="G26">
        <f ca="1"/>
        <v>165</v>
      </c>
      <c r="H26">
        <f ca="1"/>
        <v>236</v>
      </c>
      <c r="I26">
        <f ca="1"/>
        <v>379</v>
      </c>
      <c r="J26">
        <f ca="1"/>
        <v>236</v>
      </c>
      <c r="K26">
        <f ca="1"/>
        <v>288</v>
      </c>
      <c r="L26">
        <f ca="1"/>
        <v>379</v>
      </c>
      <c r="M26" t="str">
        <f ca="1"/>
        <v>Fully Valued / Trim</v>
      </c>
      <c r="N26">
        <f ca="1"/>
        <v>3.2</v>
      </c>
      <c r="O26" t="str">
        <f ca="1"/>
        <v>Railway wagon mfr; ROCE 21.5%, narrow moat. FY26 earnings decline</v>
      </c>
    </row>
    <row r="27" spans="1:15" x14ac:dyDescent="0.2">
      <c r="A27" t="str">
        <f ca="1"/>
        <v>Marico</v>
      </c>
      <c r="B27" t="e" vm="100">
        <f ca="1"/>
        <v>#VALUE!</v>
      </c>
      <c r="C27" t="str">
        <f ca="1"/>
        <v>NSE</v>
      </c>
      <c r="D27" t="str">
        <f ca="1"/>
        <v>8.7/10</v>
      </c>
      <c r="E27">
        <f ca="1"/>
        <v>783.3</v>
      </c>
      <c r="F27">
        <f ca="1"/>
        <v>397</v>
      </c>
      <c r="G27">
        <f ca="1"/>
        <v>529</v>
      </c>
      <c r="H27">
        <f ca="1"/>
        <v>661</v>
      </c>
      <c r="I27">
        <f ca="1"/>
        <v>793</v>
      </c>
      <c r="J27">
        <f ca="1"/>
        <v>349</v>
      </c>
      <c r="K27">
        <f ca="1"/>
        <v>421</v>
      </c>
      <c r="L27">
        <f ca="1"/>
        <v>578</v>
      </c>
      <c r="M27" t="str">
        <f ca="1"/>
        <v>Fully Valued / Trim</v>
      </c>
      <c r="N27">
        <f ca="1"/>
        <v>-46.3</v>
      </c>
      <c r="O27" t="str">
        <f ca="1"/>
        <v>Capital-light FMCG franchise; 62% coconut oil share, 40%+ ROCE, net cash</v>
      </c>
    </row>
    <row r="28" spans="1:15" x14ac:dyDescent="0.2">
      <c r="A28" t="str">
        <f ca="1"/>
        <v>NTPC</v>
      </c>
      <c r="B28" t="e" vm="102">
        <f ca="1"/>
        <v>#VALUE!</v>
      </c>
      <c r="C28" t="str">
        <f ca="1"/>
        <v>NSE</v>
      </c>
      <c r="D28" t="str">
        <f ca="1"/>
        <v>6.8/10</v>
      </c>
      <c r="E28">
        <f ca="1"/>
        <v>401.85</v>
      </c>
      <c r="F28">
        <f ca="1"/>
        <v>242</v>
      </c>
      <c r="G28">
        <f ca="1"/>
        <v>314</v>
      </c>
      <c r="H28">
        <f ca="1"/>
        <v>386</v>
      </c>
      <c r="I28">
        <f ca="1"/>
        <v>483</v>
      </c>
      <c r="J28">
        <f ca="1"/>
        <v>457</v>
      </c>
      <c r="K28">
        <f ca="1"/>
        <v>531</v>
      </c>
      <c r="L28">
        <f ca="1"/>
        <v>700</v>
      </c>
      <c r="M28" t="str">
        <f ca="1"/>
        <v>Fully Valued / Trim</v>
      </c>
      <c r="N28">
        <f ca="1"/>
        <v>32.1</v>
      </c>
      <c r="O28" t="str">
        <f ca="1"/>
        <v>Regulated utility; 13.9% ROE, 10% ROCE, sovereign backing, strong regulatory moat</v>
      </c>
    </row>
    <row r="29" spans="1:15" x14ac:dyDescent="0.2">
      <c r="A29" t="str">
        <f ca="1"/>
        <v>Page Industries</v>
      </c>
      <c r="B29" t="e" vm="104">
        <f ca="1"/>
        <v>#VALUE!</v>
      </c>
      <c r="C29" t="str">
        <f ca="1"/>
        <v>NSE</v>
      </c>
      <c r="D29" t="str">
        <f ca="1"/>
        <v>8.8/10</v>
      </c>
      <c r="E29">
        <f ca="1"/>
        <v>37665</v>
      </c>
      <c r="F29">
        <f ca="1"/>
        <v>18930</v>
      </c>
      <c r="G29">
        <f ca="1"/>
        <v>25240</v>
      </c>
      <c r="H29">
        <f ca="1"/>
        <v>35336</v>
      </c>
      <c r="I29">
        <f ca="1"/>
        <v>44170</v>
      </c>
      <c r="J29">
        <f ca="1"/>
        <v>13422</v>
      </c>
      <c r="K29">
        <f ca="1"/>
        <v>17557</v>
      </c>
      <c r="L29">
        <f ca="1"/>
        <v>21267</v>
      </c>
      <c r="M29" t="str">
        <f ca="1"/>
        <v>Fully Valued / Trim</v>
      </c>
      <c r="N29">
        <f ca="1"/>
        <v>-53.4</v>
      </c>
      <c r="O29" t="str">
        <f ca="1"/>
        <v>Jockey innerwear exclusive licensee; 45% ROE, 59% ROCE, zero debt, zero dilution</v>
      </c>
    </row>
    <row r="30" spans="1:15" x14ac:dyDescent="0.2">
      <c r="A30" t="str">
        <f ca="1"/>
        <v>Titagarh Rail Systems</v>
      </c>
      <c r="B30" t="e" vm="105">
        <f ca="1"/>
        <v>#VALUE!</v>
      </c>
      <c r="C30" t="str">
        <f ca="1"/>
        <v>NSE</v>
      </c>
      <c r="D30" t="str">
        <f ca="1"/>
        <v>6.2/10</v>
      </c>
      <c r="E30">
        <f ca="1"/>
        <v>756.65</v>
      </c>
      <c r="F30">
        <f ca="1"/>
        <v>250</v>
      </c>
      <c r="G30">
        <f ca="1"/>
        <v>370</v>
      </c>
      <c r="H30">
        <f ca="1"/>
        <v>500</v>
      </c>
      <c r="I30">
        <f ca="1"/>
        <v>900</v>
      </c>
      <c r="J30">
        <f ca="1"/>
        <v>555</v>
      </c>
      <c r="K30">
        <f ca="1"/>
        <v>748</v>
      </c>
      <c r="L30">
        <f ca="1"/>
        <v>1010</v>
      </c>
      <c r="M30" t="str">
        <f ca="1"/>
        <v>Fully Valued / Trim</v>
      </c>
      <c r="N30">
        <f ca="1"/>
        <v>-1.1000000000000001</v>
      </c>
      <c r="O30" t="str">
        <f ca="1"/>
        <v>25% wagon market share; weak FCF, cyclical govt contractor, moat unproven</v>
      </c>
    </row>
    <row r="31" spans="1:15" x14ac:dyDescent="0.2">
      <c r="A31" t="str">
        <f ca="1"/>
        <v>United Spirits</v>
      </c>
      <c r="B31" t="e" vm="106">
        <f ca="1"/>
        <v>#VALUE!</v>
      </c>
      <c r="C31" t="str">
        <f ca="1"/>
        <v>NSE</v>
      </c>
      <c r="D31" t="str">
        <f ca="1"/>
        <v>8.5/10</v>
      </c>
      <c r="E31">
        <f ca="1"/>
        <v>1391.9</v>
      </c>
      <c r="F31">
        <f ca="1"/>
        <v>559</v>
      </c>
      <c r="G31">
        <f ca="1"/>
        <v>782</v>
      </c>
      <c r="H31">
        <f ca="1"/>
        <v>1118</v>
      </c>
      <c r="I31">
        <f ca="1"/>
        <v>1453</v>
      </c>
      <c r="J31">
        <f ca="1"/>
        <v>470</v>
      </c>
      <c r="K31">
        <f ca="1"/>
        <v>565</v>
      </c>
      <c r="L31">
        <f ca="1"/>
        <v>751</v>
      </c>
      <c r="M31" t="str">
        <f ca="1"/>
        <v>Fully Valued / Trim</v>
      </c>
      <c r="N31">
        <f ca="1"/>
        <v>-59.4</v>
      </c>
      <c r="O31" t="str">
        <f ca="1"/>
        <v>Consumer spirits franchise; 9/10 moat, 19.5% ROE, net cash. Diageo-backed</v>
      </c>
    </row>
    <row r="32" spans="1:15" x14ac:dyDescent="0.2">
      <c r="A32" t="str">
        <f ca="1"/>
        <v>Sirca Paints India</v>
      </c>
      <c r="B32" t="e" vm="108">
        <f ca="1"/>
        <v>#VALUE!</v>
      </c>
      <c r="C32" t="str">
        <f ca="1"/>
        <v>NSE</v>
      </c>
      <c r="D32" t="str">
        <f ca="1"/>
        <v>7.3/10</v>
      </c>
      <c r="E32">
        <f ca="1"/>
        <v>437.3</v>
      </c>
      <c r="F32">
        <f ca="1"/>
        <v>200</v>
      </c>
      <c r="G32">
        <f ca="1"/>
        <v>275</v>
      </c>
      <c r="H32">
        <f ca="1"/>
        <v>385</v>
      </c>
      <c r="I32">
        <f ca="1"/>
        <v>550</v>
      </c>
      <c r="J32">
        <f ca="1"/>
        <v>265</v>
      </c>
      <c r="K32">
        <f ca="1"/>
        <v>371</v>
      </c>
      <c r="L32">
        <f ca="1"/>
        <v>658</v>
      </c>
      <c r="M32" t="str">
        <f ca="1"/>
        <v>Fully Valued / Trim</v>
      </c>
      <c r="N32">
        <f ca="1"/>
        <v>-15.2</v>
      </c>
      <c r="O32" t="str">
        <f ca="1"/>
        <v>Niche premium wood coatings; Italian brand (till 2041), near-zero debt, 20% ROCE. Margin compression risk</v>
      </c>
    </row>
    <row r="33" spans="1:15" x14ac:dyDescent="0.2">
      <c r="A33" t="str">
        <f ca="1"/>
        <v>Indigo Paints</v>
      </c>
      <c r="B33" t="e" vm="109">
        <f ca="1"/>
        <v>#VALUE!</v>
      </c>
      <c r="C33" t="str">
        <f ca="1"/>
        <v>NSE</v>
      </c>
      <c r="D33" t="str">
        <f ca="1"/>
        <v>6.6/10</v>
      </c>
      <c r="E33">
        <f ca="1"/>
        <v>860.05</v>
      </c>
      <c r="F33">
        <f ca="1"/>
        <v>550</v>
      </c>
      <c r="G33">
        <f ca="1"/>
        <v>670</v>
      </c>
      <c r="H33">
        <f ca="1"/>
        <v>850</v>
      </c>
      <c r="I33">
        <f ca="1"/>
        <v>1065</v>
      </c>
      <c r="J33">
        <f ca="1"/>
        <v>1005</v>
      </c>
      <c r="K33">
        <f ca="1"/>
        <v>1207</v>
      </c>
      <c r="L33">
        <f ca="1"/>
        <v>1646</v>
      </c>
      <c r="M33" t="str">
        <f ca="1"/>
        <v>Fully Valued / Trim</v>
      </c>
      <c r="N33">
        <f ca="1"/>
        <v>40.299999999999997</v>
      </c>
      <c r="O33" t="str">
        <f ca="1"/>
        <v>Category-creator decorative paints; 20% ROCE, debt-free, Rs227 Cr net cash. Sharp growth deceleration</v>
      </c>
    </row>
    <row r="34" spans="1:15" x14ac:dyDescent="0.2">
      <c r="A34" t="str">
        <f ca="1"/>
        <v>Berger Paints India</v>
      </c>
      <c r="B34" t="e" vm="112">
        <f ca="1"/>
        <v>#VALUE!</v>
      </c>
      <c r="C34" t="str">
        <f ca="1"/>
        <v>NSE</v>
      </c>
      <c r="D34" t="str">
        <f ca="1"/>
        <v>7.8/10</v>
      </c>
      <c r="E34">
        <f ca="1"/>
        <v>460.4</v>
      </c>
      <c r="F34">
        <f ca="1"/>
        <v>240</v>
      </c>
      <c r="G34">
        <f ca="1"/>
        <v>335</v>
      </c>
      <c r="H34">
        <f ca="1"/>
        <v>425</v>
      </c>
      <c r="I34">
        <f ca="1"/>
        <v>525</v>
      </c>
      <c r="J34">
        <f ca="1"/>
        <v>204</v>
      </c>
      <c r="K34">
        <f ca="1"/>
        <v>304</v>
      </c>
      <c r="L34">
        <f ca="1"/>
        <v>393</v>
      </c>
      <c r="M34" t="str">
        <f ca="1"/>
        <v>Fully Valued / Trim</v>
      </c>
      <c r="N34">
        <f ca="1"/>
        <v>-34</v>
      </c>
      <c r="O34" t="str">
        <f ca="1"/>
        <v>#2 paint co (20% share); 20%+ ROE, near-zero debt (D/E 0.11), 75% promoter. Paint War headwinds</v>
      </c>
    </row>
  </sheetData>
  <mergeCells count="2">
    <mergeCell ref="A1:O1"/>
    <mergeCell ref="A2:O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DC143C"/>
  </sheetPr>
  <dimension ref="A1:O24"/>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3" t="s">
        <v>342</v>
      </c>
      <c r="B1" s="33"/>
      <c r="C1" s="33"/>
      <c r="D1" s="33"/>
      <c r="E1" s="33"/>
      <c r="F1" s="33"/>
      <c r="G1" s="33"/>
      <c r="H1" s="33"/>
      <c r="I1" s="33"/>
      <c r="J1" s="33"/>
      <c r="K1" s="33"/>
      <c r="L1" s="33"/>
      <c r="M1" s="33"/>
      <c r="N1" s="33"/>
      <c r="O1" s="33"/>
    </row>
    <row r="2" spans="1:15" x14ac:dyDescent="0.2">
      <c r="A2" s="29" t="s">
        <v>343</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328</v>
      </c>
      <c r="G3" s="10" t="s">
        <v>329</v>
      </c>
      <c r="H3" s="10" t="s">
        <v>330</v>
      </c>
      <c r="I3" s="10" t="s">
        <v>331</v>
      </c>
      <c r="J3" s="10" t="s">
        <v>332</v>
      </c>
      <c r="K3" s="10" t="s">
        <v>333</v>
      </c>
      <c r="L3" s="10" t="s">
        <v>334</v>
      </c>
      <c r="M3" s="10" t="s">
        <v>47</v>
      </c>
      <c r="N3" s="10" t="s">
        <v>335</v>
      </c>
      <c r="O3" s="10" t="s">
        <v>49</v>
      </c>
    </row>
    <row r="4" spans="1:15" x14ac:dyDescent="0.2">
      <c r="A4" t="str" cm="1">
        <f t="array" aca="1" ref="A4:O24" ca="1">_xlfn._xlws.FILTER('All Companies'!B3:P114,'All Companies'!N3:N114="Overvalued / Sell","No companies in this zone currently - enter prices in All Companies sheet")</f>
        <v>Advani Hotels &amp; Resorts</v>
      </c>
      <c r="B4" t="e" vm="2">
        <f ca="1"/>
        <v>#VALUE!</v>
      </c>
      <c r="C4" t="str">
        <f ca="1"/>
        <v>NSE</v>
      </c>
      <c r="D4" t="str">
        <f ca="1"/>
        <v>7.3/10</v>
      </c>
      <c r="E4">
        <f ca="1"/>
        <v>53.86</v>
      </c>
      <c r="F4">
        <f ca="1"/>
        <v>26</v>
      </c>
      <c r="G4">
        <f ca="1"/>
        <v>37</v>
      </c>
      <c r="H4">
        <f ca="1"/>
        <v>45</v>
      </c>
      <c r="I4">
        <f ca="1"/>
        <v>50</v>
      </c>
      <c r="J4">
        <f ca="1"/>
        <v>30</v>
      </c>
      <c r="K4">
        <f ca="1"/>
        <v>37</v>
      </c>
      <c r="L4">
        <f ca="1"/>
        <v>50</v>
      </c>
      <c r="M4" t="str">
        <f ca="1"/>
        <v>Overvalued / Sell</v>
      </c>
      <c r="N4">
        <f ca="1"/>
        <v>-31.3</v>
      </c>
      <c r="O4" t="str">
        <f ca="1"/>
        <v>Single 5-star Goa asset; 34% ROE but zero growth runway</v>
      </c>
    </row>
    <row r="5" spans="1:15" x14ac:dyDescent="0.2">
      <c r="A5" t="str">
        <f ca="1"/>
        <v>APL Apollo Tubes</v>
      </c>
      <c r="B5" t="e" vm="4">
        <f ca="1"/>
        <v>#VALUE!</v>
      </c>
      <c r="C5" t="str">
        <f ca="1"/>
        <v>NSE</v>
      </c>
      <c r="D5" t="str">
        <f ca="1"/>
        <v>7.7/10</v>
      </c>
      <c r="E5">
        <f ca="1"/>
        <v>2004.5</v>
      </c>
      <c r="F5">
        <f ca="1"/>
        <v>820</v>
      </c>
      <c r="G5">
        <f ca="1"/>
        <v>1200</v>
      </c>
      <c r="H5">
        <f ca="1"/>
        <v>1500</v>
      </c>
      <c r="I5">
        <f ca="1"/>
        <v>1800</v>
      </c>
      <c r="J5">
        <f ca="1"/>
        <v>1000</v>
      </c>
      <c r="K5">
        <f ca="1"/>
        <v>1500</v>
      </c>
      <c r="L5">
        <f ca="1"/>
        <v>2000</v>
      </c>
      <c r="M5" t="str">
        <f ca="1"/>
        <v>Overvalued / Sell</v>
      </c>
      <c r="N5">
        <f ca="1"/>
        <v>-25.2</v>
      </c>
      <c r="O5" t="str">
        <f ca="1"/>
        <v>50% market share steel tubes; 22%+ ROCE. Fortress balance sheet</v>
      </c>
    </row>
    <row r="6" spans="1:15" x14ac:dyDescent="0.2">
      <c r="A6" t="str">
        <f ca="1"/>
        <v>Apollo Tyres</v>
      </c>
      <c r="B6" t="e" vm="5">
        <f ca="1"/>
        <v>#VALUE!</v>
      </c>
      <c r="C6" t="str">
        <f ca="1"/>
        <v>NSE</v>
      </c>
      <c r="D6" t="str">
        <f ca="1"/>
        <v>5.1/10</v>
      </c>
      <c r="E6">
        <f ca="1"/>
        <v>423.85</v>
      </c>
      <c r="F6">
        <f ca="1"/>
        <v>200</v>
      </c>
      <c r="G6">
        <f ca="1"/>
        <v>270</v>
      </c>
      <c r="H6">
        <f ca="1"/>
        <v>356</v>
      </c>
      <c r="I6">
        <f ca="1"/>
        <v>420</v>
      </c>
      <c r="J6">
        <f ca="1"/>
        <v>229</v>
      </c>
      <c r="K6">
        <f ca="1"/>
        <v>356</v>
      </c>
      <c r="L6">
        <f ca="1"/>
        <v>519</v>
      </c>
      <c r="M6" t="str">
        <f ca="1"/>
        <v>Overvalued / Sell</v>
      </c>
      <c r="N6">
        <f ca="1"/>
        <v>-16</v>
      </c>
      <c r="O6" t="str">
        <f ca="1"/>
        <v>Mediocre ROE 9-10%; commodity business; deteriorating cash conversion</v>
      </c>
    </row>
    <row r="7" spans="1:15" x14ac:dyDescent="0.2">
      <c r="A7" t="str">
        <f ca="1"/>
        <v>AU Small Finance Bank</v>
      </c>
      <c r="B7" t="e" vm="7">
        <f ca="1"/>
        <v>#VALUE!</v>
      </c>
      <c r="C7" t="str">
        <f ca="1"/>
        <v>NSE</v>
      </c>
      <c r="D7" t="str">
        <f ca="1"/>
        <v>7.4/10</v>
      </c>
      <c r="E7">
        <f ca="1"/>
        <v>1065.6500000000001</v>
      </c>
      <c r="F7">
        <f ca="1"/>
        <v>400</v>
      </c>
      <c r="G7">
        <f ca="1"/>
        <v>610</v>
      </c>
      <c r="H7">
        <f ca="1"/>
        <v>750</v>
      </c>
      <c r="I7">
        <f ca="1"/>
        <v>900</v>
      </c>
      <c r="J7">
        <f ca="1"/>
        <v>485</v>
      </c>
      <c r="K7">
        <f ca="1"/>
        <v>610</v>
      </c>
      <c r="L7">
        <f ca="1"/>
        <v>800</v>
      </c>
      <c r="M7" t="str">
        <f ca="1"/>
        <v>Overvalued / Sell</v>
      </c>
      <c r="N7">
        <f ca="1"/>
        <v>-42.8</v>
      </c>
      <c r="O7" t="str">
        <f ca="1"/>
        <v>Superior NIM 5.5-6%; first SFB to get universal bank license. Overpriced</v>
      </c>
    </row>
    <row r="8" spans="1:15" x14ac:dyDescent="0.2">
      <c r="A8" t="str">
        <f ca="1"/>
        <v>Avenue Supermarts (DMart)</v>
      </c>
      <c r="B8" t="e" vm="8">
        <f ca="1"/>
        <v>#VALUE!</v>
      </c>
      <c r="C8" t="str">
        <f ca="1"/>
        <v>NSE</v>
      </c>
      <c r="D8" t="str">
        <f ca="1"/>
        <v>8.3/10</v>
      </c>
      <c r="E8">
        <f ca="1"/>
        <v>4443.5</v>
      </c>
      <c r="F8">
        <f ca="1"/>
        <v>1316</v>
      </c>
      <c r="G8">
        <f ca="1"/>
        <v>1974</v>
      </c>
      <c r="H8">
        <f ca="1"/>
        <v>2500</v>
      </c>
      <c r="I8">
        <f ca="1"/>
        <v>3000</v>
      </c>
      <c r="J8">
        <f ca="1"/>
        <v>1316</v>
      </c>
      <c r="K8">
        <f ca="1"/>
        <v>2015</v>
      </c>
      <c r="L8">
        <f ca="1"/>
        <v>2500</v>
      </c>
      <c r="M8" t="str">
        <f ca="1"/>
        <v>Overvalued / Sell</v>
      </c>
      <c r="N8">
        <f ca="1"/>
        <v>-54.7</v>
      </c>
      <c r="O8" t="str">
        <f ca="1"/>
        <v>Lowest-cost retailer; 13.4% ROE, debt-free. Founder 74.65% ownership</v>
      </c>
    </row>
    <row r="9" spans="1:15" x14ac:dyDescent="0.2">
      <c r="A9" t="str">
        <f ca="1"/>
        <v>CEAT Ltd</v>
      </c>
      <c r="B9" t="e" vm="19">
        <f ca="1"/>
        <v>#VALUE!</v>
      </c>
      <c r="C9" t="str">
        <f ca="1"/>
        <v>NSE</v>
      </c>
      <c r="D9" t="str">
        <f ca="1"/>
        <v>5.6/10</v>
      </c>
      <c r="E9">
        <f ca="1"/>
        <v>3476.2</v>
      </c>
      <c r="F9">
        <f ca="1"/>
        <v>1000</v>
      </c>
      <c r="G9">
        <f ca="1"/>
        <v>1350</v>
      </c>
      <c r="H9">
        <f ca="1"/>
        <v>2000</v>
      </c>
      <c r="I9">
        <f ca="1"/>
        <v>2315</v>
      </c>
      <c r="J9">
        <f ca="1"/>
        <v>1349</v>
      </c>
      <c r="K9">
        <f ca="1"/>
        <v>2315</v>
      </c>
      <c r="L9">
        <f ca="1"/>
        <v>2800</v>
      </c>
      <c r="M9" t="str">
        <f ca="1"/>
        <v>Overvalued / Sell</v>
      </c>
      <c r="N9">
        <f ca="1"/>
        <v>-33.4</v>
      </c>
      <c r="O9" t="str">
        <f ca="1"/>
        <v>Mediocre tyre business; commodity-dependent, capital-intensive</v>
      </c>
    </row>
    <row r="10" spans="1:15" x14ac:dyDescent="0.2">
      <c r="A10" t="str">
        <f ca="1"/>
        <v>Colgate-Palmolive India</v>
      </c>
      <c r="B10" t="e" vm="21">
        <f ca="1"/>
        <v>#VALUE!</v>
      </c>
      <c r="C10" t="str">
        <f ca="1"/>
        <v>NSE</v>
      </c>
      <c r="D10" t="str">
        <f ca="1"/>
        <v>7.9/10</v>
      </c>
      <c r="E10">
        <f ca="1"/>
        <v>2171.3000000000002</v>
      </c>
      <c r="F10">
        <f ca="1"/>
        <v>1100</v>
      </c>
      <c r="G10">
        <f ca="1"/>
        <v>1370</v>
      </c>
      <c r="H10">
        <f ca="1"/>
        <v>1615</v>
      </c>
      <c r="I10">
        <f ca="1"/>
        <v>1960</v>
      </c>
      <c r="J10">
        <f ca="1"/>
        <v>1302</v>
      </c>
      <c r="K10">
        <f ca="1"/>
        <v>1615</v>
      </c>
      <c r="L10">
        <f ca="1"/>
        <v>1960</v>
      </c>
      <c r="M10" t="str">
        <f ca="1"/>
        <v>Overvalued / Sell</v>
      </c>
      <c r="N10">
        <f ca="1"/>
        <v>-25.6</v>
      </c>
      <c r="O10" t="str">
        <f ca="1"/>
        <v>80%+ ROE, 89-yr franchise, zero debt. Market share eroding 58% to 43%</v>
      </c>
    </row>
    <row r="11" spans="1:15" x14ac:dyDescent="0.2">
      <c r="A11" t="str">
        <f ca="1"/>
        <v>CRISIL</v>
      </c>
      <c r="B11" t="e" vm="22">
        <f ca="1"/>
        <v>#VALUE!</v>
      </c>
      <c r="C11" t="str">
        <f ca="1"/>
        <v>NSE</v>
      </c>
      <c r="D11" t="str">
        <f ca="1"/>
        <v>8.5/10</v>
      </c>
      <c r="E11">
        <f ca="1"/>
        <v>4269.3999999999996</v>
      </c>
      <c r="F11">
        <f ca="1"/>
        <v>2500</v>
      </c>
      <c r="G11">
        <f ca="1"/>
        <v>3200</v>
      </c>
      <c r="H11">
        <f ca="1"/>
        <v>3800</v>
      </c>
      <c r="I11">
        <f ca="1"/>
        <v>4200</v>
      </c>
      <c r="J11">
        <f ca="1"/>
        <v>3218</v>
      </c>
      <c r="K11">
        <f ca="1"/>
        <v>3800</v>
      </c>
      <c r="L11">
        <f ca="1"/>
        <v>4500</v>
      </c>
      <c r="M11" t="str">
        <f ca="1"/>
        <v>Overvalued / Sell</v>
      </c>
      <c r="N11">
        <f ca="1"/>
        <v>-11</v>
      </c>
      <c r="O11" t="str">
        <f ca="1"/>
        <v>Regulatory toll bridge; 50%+ margins, S&amp;P Global 66.64% parent. Steady 10-13% growth</v>
      </c>
    </row>
    <row r="12" spans="1:15" x14ac:dyDescent="0.2">
      <c r="A12" t="str">
        <f ca="1"/>
        <v>Dabur India</v>
      </c>
      <c r="B12" t="e" vm="24">
        <f ca="1"/>
        <v>#VALUE!</v>
      </c>
      <c r="C12" t="str">
        <f ca="1"/>
        <v>NSE</v>
      </c>
      <c r="D12" t="str">
        <f ca="1"/>
        <v>6/10</v>
      </c>
      <c r="E12">
        <f ca="1"/>
        <v>451.1</v>
      </c>
      <c r="F12">
        <f ca="1"/>
        <v>200</v>
      </c>
      <c r="G12">
        <f ca="1"/>
        <v>280</v>
      </c>
      <c r="H12">
        <f ca="1"/>
        <v>346</v>
      </c>
      <c r="I12">
        <f ca="1"/>
        <v>420</v>
      </c>
      <c r="J12">
        <f ca="1"/>
        <v>199</v>
      </c>
      <c r="K12">
        <f ca="1"/>
        <v>280</v>
      </c>
      <c r="L12">
        <f ca="1"/>
        <v>346</v>
      </c>
      <c r="M12" t="str">
        <f ca="1"/>
        <v>Overvalued / Sell</v>
      </c>
      <c r="N12">
        <f ca="1"/>
        <v>-37.9</v>
      </c>
      <c r="O12" t="str">
        <f ca="1"/>
        <v>140-yr heritage but stagnating; 45x PE for 4% growth. Declining ROE</v>
      </c>
    </row>
    <row r="13" spans="1:15" x14ac:dyDescent="0.2">
      <c r="A13" t="str">
        <f ca="1"/>
        <v>Data Patterns India</v>
      </c>
      <c r="B13" t="e" vm="25">
        <f ca="1"/>
        <v>#VALUE!</v>
      </c>
      <c r="C13" t="str">
        <f ca="1"/>
        <v>NSE</v>
      </c>
      <c r="D13" t="str">
        <f ca="1"/>
        <v>7/10</v>
      </c>
      <c r="E13">
        <f ca="1"/>
        <v>4077.7</v>
      </c>
      <c r="F13">
        <f ca="1"/>
        <v>1000</v>
      </c>
      <c r="G13">
        <f ca="1"/>
        <v>1500</v>
      </c>
      <c r="H13">
        <f ca="1"/>
        <v>2200</v>
      </c>
      <c r="I13">
        <f ca="1"/>
        <v>3000</v>
      </c>
      <c r="J13">
        <f ca="1"/>
        <v>1200</v>
      </c>
      <c r="K13">
        <f ca="1"/>
        <v>1500</v>
      </c>
      <c r="L13">
        <f ca="1"/>
        <v>2200</v>
      </c>
      <c r="M13" t="str">
        <f ca="1"/>
        <v>Overvalued / Sell</v>
      </c>
      <c r="N13">
        <f ca="1"/>
        <v>-63.2</v>
      </c>
      <c r="O13" t="str">
        <f ca="1"/>
        <v>Leading defence electronics; 30-35% revenue CAGR. RISK: negative OCF, 618-day CCC</v>
      </c>
    </row>
    <row r="14" spans="1:15" x14ac:dyDescent="0.2">
      <c r="A14" t="str">
        <f ca="1"/>
        <v>Gillette India</v>
      </c>
      <c r="B14" t="e" vm="32">
        <f ca="1"/>
        <v>#VALUE!</v>
      </c>
      <c r="C14" t="str">
        <f ca="1"/>
        <v>NSE</v>
      </c>
      <c r="D14" t="str">
        <f ca="1"/>
        <v>8.4/10</v>
      </c>
      <c r="E14">
        <f ca="1"/>
        <v>8095.5</v>
      </c>
      <c r="F14">
        <f ca="1"/>
        <v>4500</v>
      </c>
      <c r="G14">
        <f ca="1"/>
        <v>5864</v>
      </c>
      <c r="H14">
        <f ca="1"/>
        <v>7000</v>
      </c>
      <c r="I14">
        <f ca="1"/>
        <v>8000</v>
      </c>
      <c r="J14">
        <f ca="1"/>
        <v>5864</v>
      </c>
      <c r="K14">
        <f ca="1"/>
        <v>7000</v>
      </c>
      <c r="L14">
        <f ca="1"/>
        <v>8500</v>
      </c>
      <c r="M14" t="str">
        <f ca="1"/>
        <v>Overvalued / Sell</v>
      </c>
      <c r="N14">
        <f ca="1"/>
        <v>-13.5</v>
      </c>
      <c r="O14" t="str">
        <f ca="1"/>
        <v>Razor-and-blade moat; 59% ROCE, 42% ROE. Electric trimmer disruption risk</v>
      </c>
    </row>
    <row r="15" spans="1:15" x14ac:dyDescent="0.2">
      <c r="A15" t="str">
        <f ca="1"/>
        <v>Hindustan Unilever</v>
      </c>
      <c r="B15" t="e" vm="34">
        <f ca="1"/>
        <v>#VALUE!</v>
      </c>
      <c r="C15" t="str">
        <f ca="1"/>
        <v>NSE</v>
      </c>
      <c r="D15" t="str">
        <f ca="1"/>
        <v>8/10</v>
      </c>
      <c r="E15">
        <f ca="1"/>
        <v>2327.3000000000002</v>
      </c>
      <c r="F15">
        <f ca="1"/>
        <v>1150</v>
      </c>
      <c r="G15">
        <f ca="1"/>
        <v>1470</v>
      </c>
      <c r="H15">
        <f ca="1"/>
        <v>1800</v>
      </c>
      <c r="I15">
        <f ca="1"/>
        <v>2100</v>
      </c>
      <c r="J15">
        <f ca="1"/>
        <v>1470</v>
      </c>
      <c r="K15">
        <f ca="1"/>
        <v>1800</v>
      </c>
      <c r="L15">
        <f ca="1"/>
        <v>2200</v>
      </c>
      <c r="M15" t="str">
        <f ca="1"/>
        <v>Overvalued / Sell</v>
      </c>
      <c r="N15">
        <f ca="1"/>
        <v>-22.7</v>
      </c>
      <c r="O15" t="str">
        <f ca="1"/>
        <v>India's FMCG crown jewel; 50+ brands, 9M outlets, 20.7% ROE. D2C disruption</v>
      </c>
    </row>
    <row r="16" spans="1:15" x14ac:dyDescent="0.2">
      <c r="A16" t="str">
        <f ca="1"/>
        <v>Maruti Suzuki</v>
      </c>
      <c r="B16" t="e" vm="55">
        <f ca="1"/>
        <v>#VALUE!</v>
      </c>
      <c r="C16" t="str">
        <f ca="1"/>
        <v>NSE</v>
      </c>
      <c r="D16" t="str">
        <f ca="1"/>
        <v>8.1/10</v>
      </c>
      <c r="E16">
        <f ca="1"/>
        <v>13048</v>
      </c>
      <c r="F16">
        <f ca="1"/>
        <v>8300</v>
      </c>
      <c r="G16">
        <f ca="1"/>
        <v>11000</v>
      </c>
      <c r="H16">
        <f ca="1"/>
        <v>11490</v>
      </c>
      <c r="I16">
        <f ca="1"/>
        <v>12757</v>
      </c>
      <c r="J16">
        <f ca="1"/>
        <v>8532</v>
      </c>
      <c r="K16">
        <f ca="1"/>
        <v>11490</v>
      </c>
      <c r="L16">
        <f ca="1"/>
        <v>17793</v>
      </c>
      <c r="M16" t="str">
        <f ca="1"/>
        <v>Overvalued / Sell</v>
      </c>
      <c r="N16">
        <f ca="1"/>
        <v>-11.9</v>
      </c>
      <c r="O16" t="str">
        <f ca="1"/>
        <v>India's dominant auto (41% share); debt-free, 62% ROIC, Rs66K Cr cash</v>
      </c>
    </row>
    <row r="17" spans="1:15" x14ac:dyDescent="0.2">
      <c r="A17" t="str">
        <f ca="1"/>
        <v>Olectra Greentech</v>
      </c>
      <c r="B17" t="e" vm="58">
        <f ca="1"/>
        <v>#VALUE!</v>
      </c>
      <c r="C17" t="str">
        <f ca="1"/>
        <v>NSE</v>
      </c>
      <c r="D17" t="str">
        <f ca="1"/>
        <v>5.7/10</v>
      </c>
      <c r="E17">
        <f ca="1"/>
        <v>1202.8</v>
      </c>
      <c r="F17">
        <f ca="1"/>
        <v>275</v>
      </c>
      <c r="G17">
        <f ca="1"/>
        <v>480</v>
      </c>
      <c r="H17">
        <f ca="1"/>
        <v>685</v>
      </c>
      <c r="I17">
        <f ca="1"/>
        <v>960</v>
      </c>
      <c r="J17">
        <f ca="1"/>
        <v>526</v>
      </c>
      <c r="K17">
        <f ca="1"/>
        <v>972</v>
      </c>
      <c r="L17">
        <f ca="1"/>
        <v>1599</v>
      </c>
      <c r="M17" t="str">
        <f ca="1"/>
        <v>Overvalued / Sell</v>
      </c>
      <c r="N17">
        <f ca="1"/>
        <v>-19.2</v>
      </c>
      <c r="O17" t="str">
        <f ca="1"/>
        <v>India's largest EV bus maker. Eroding moat, negative FCF, BYD-dependent</v>
      </c>
    </row>
    <row r="18" spans="1:15" x14ac:dyDescent="0.2">
      <c r="A18" t="str">
        <f ca="1"/>
        <v>Solar Industries</v>
      </c>
      <c r="B18" t="e" vm="67">
        <f ca="1"/>
        <v>#VALUE!</v>
      </c>
      <c r="C18" t="str">
        <f ca="1"/>
        <v>NSE</v>
      </c>
      <c r="D18" t="str">
        <f ca="1"/>
        <v>9.1/10</v>
      </c>
      <c r="E18">
        <f ca="1"/>
        <v>15056</v>
      </c>
      <c r="F18">
        <f ca="1"/>
        <v>5600</v>
      </c>
      <c r="G18">
        <f ca="1"/>
        <v>8000</v>
      </c>
      <c r="H18">
        <f ca="1"/>
        <v>10400</v>
      </c>
      <c r="I18">
        <f ca="1"/>
        <v>13600</v>
      </c>
      <c r="J18">
        <f ca="1"/>
        <v>5450</v>
      </c>
      <c r="K18">
        <f ca="1"/>
        <v>8300</v>
      </c>
      <c r="L18">
        <f ca="1"/>
        <v>11620</v>
      </c>
      <c r="M18" t="str">
        <f ca="1"/>
        <v>Overvalued / Sell</v>
      </c>
      <c r="N18">
        <f ca="1"/>
        <v>-44.9</v>
      </c>
      <c r="O18" t="str">
        <f ca="1"/>
        <v>India's explosives monopoly; 31% ROCE, 73% promoter, defence order visibility</v>
      </c>
    </row>
    <row r="19" spans="1:15" x14ac:dyDescent="0.2">
      <c r="A19" t="str">
        <f ca="1"/>
        <v>Tata Power</v>
      </c>
      <c r="B19" t="e" vm="76">
        <f ca="1"/>
        <v>#VALUE!</v>
      </c>
      <c r="C19" t="str">
        <f ca="1"/>
        <v>NSE</v>
      </c>
      <c r="D19" t="str">
        <f ca="1"/>
        <v>5.6/10</v>
      </c>
      <c r="E19">
        <f ca="1"/>
        <v>435</v>
      </c>
      <c r="F19">
        <f ca="1"/>
        <v>168</v>
      </c>
      <c r="G19">
        <f ca="1"/>
        <v>247</v>
      </c>
      <c r="H19">
        <f ca="1"/>
        <v>336</v>
      </c>
      <c r="I19">
        <f ca="1"/>
        <v>426</v>
      </c>
      <c r="J19">
        <f ca="1"/>
        <v>90</v>
      </c>
      <c r="K19">
        <f ca="1"/>
        <v>182</v>
      </c>
      <c r="L19">
        <f ca="1"/>
        <v>371</v>
      </c>
      <c r="M19" t="str">
        <f ca="1"/>
        <v>Overvalued / Sell</v>
      </c>
      <c r="N19">
        <f ca="1"/>
        <v>-58.2</v>
      </c>
      <c r="O19" t="str">
        <f ca="1"/>
        <v>Regulated monopoly T&amp;D (62% rev); strong Tata backing. Overpriced at 34x PE</v>
      </c>
    </row>
    <row r="20" spans="1:15" x14ac:dyDescent="0.2">
      <c r="A20" t="str">
        <f ca="1"/>
        <v>Tata Steel</v>
      </c>
      <c r="B20" t="e" vm="77">
        <f ca="1"/>
        <v>#VALUE!</v>
      </c>
      <c r="C20" t="str">
        <f ca="1"/>
        <v>NSE</v>
      </c>
      <c r="D20" t="str">
        <f ca="1"/>
        <v>4.9/10</v>
      </c>
      <c r="E20">
        <f ca="1"/>
        <v>210.07</v>
      </c>
      <c r="F20">
        <f ca="1"/>
        <v>61</v>
      </c>
      <c r="G20">
        <f ca="1"/>
        <v>91</v>
      </c>
      <c r="H20">
        <f ca="1"/>
        <v>122</v>
      </c>
      <c r="I20">
        <f ca="1"/>
        <v>186</v>
      </c>
      <c r="J20">
        <f ca="1"/>
        <v>4</v>
      </c>
      <c r="K20">
        <f ca="1"/>
        <v>60</v>
      </c>
      <c r="L20">
        <f ca="1"/>
        <v>224</v>
      </c>
      <c r="M20" t="str">
        <f ca="1"/>
        <v>Overvalued / Sell</v>
      </c>
      <c r="N20">
        <f ca="1"/>
        <v>-71.400000000000006</v>
      </c>
      <c r="O20" t="str">
        <f ca="1"/>
        <v>India cost moat via captive iron ore. At historic peak P/B; commodity cyclical</v>
      </c>
    </row>
    <row r="21" spans="1:15" x14ac:dyDescent="0.2">
      <c r="A21" t="str">
        <f ca="1"/>
        <v>Apple</v>
      </c>
      <c r="B21" t="e" vm="84">
        <f ca="1"/>
        <v>#VALUE!</v>
      </c>
      <c r="C21" t="str">
        <f ca="1"/>
        <v>NASDAQ</v>
      </c>
      <c r="D21" t="str">
        <f ca="1"/>
        <v>9.1/10</v>
      </c>
      <c r="E21">
        <f ca="1"/>
        <v>273.43</v>
      </c>
      <c r="F21">
        <f ca="1"/>
        <v>148</v>
      </c>
      <c r="G21">
        <f ca="1"/>
        <v>185</v>
      </c>
      <c r="H21">
        <f ca="1"/>
        <v>222</v>
      </c>
      <c r="I21">
        <f ca="1"/>
        <v>259</v>
      </c>
      <c r="J21">
        <f ca="1"/>
        <v>94</v>
      </c>
      <c r="K21">
        <f ca="1"/>
        <v>123</v>
      </c>
      <c r="L21">
        <f ca="1"/>
        <v>166</v>
      </c>
      <c r="M21" t="str">
        <f ca="1"/>
        <v>Overvalued / Sell</v>
      </c>
      <c r="N21">
        <f ca="1"/>
        <v>-55</v>
      </c>
      <c r="O21" t="str">
        <f ca="1"/>
        <v>10/10 quality; $100B+ FCF, 31% ROA, ecosystem moat. Fully valued at 34x PE</v>
      </c>
    </row>
    <row r="22" spans="1:15" x14ac:dyDescent="0.2">
      <c r="A22" t="str">
        <f ca="1"/>
        <v>Asian Paints Ltd</v>
      </c>
      <c r="B22" t="e" vm="90">
        <f ca="1"/>
        <v>#VALUE!</v>
      </c>
      <c r="C22" t="str">
        <f ca="1"/>
        <v>NSE</v>
      </c>
      <c r="D22" t="str">
        <f ca="1"/>
        <v>8/10</v>
      </c>
      <c r="E22">
        <f ca="1"/>
        <v>2485.1</v>
      </c>
      <c r="F22">
        <f ca="1"/>
        <v>645</v>
      </c>
      <c r="G22">
        <f ca="1"/>
        <v>922</v>
      </c>
      <c r="H22">
        <f ca="1"/>
        <v>1198</v>
      </c>
      <c r="I22">
        <f ca="1"/>
        <v>1638</v>
      </c>
      <c r="J22">
        <f ca="1"/>
        <v>922</v>
      </c>
      <c r="K22">
        <f ca="1"/>
        <v>1198</v>
      </c>
      <c r="L22">
        <f ca="1"/>
        <v>1638</v>
      </c>
      <c r="M22" t="str">
        <f ca="1"/>
        <v>Overvalued / Sell</v>
      </c>
      <c r="N22">
        <f ca="1"/>
        <v>-51.8</v>
      </c>
      <c r="O22" t="str">
        <f ca="1"/>
        <v>Dominant paint brand (54% share); ROCE 26-45%, debt-free. Competitive pressure from Birla</v>
      </c>
    </row>
    <row r="23" spans="1:15" x14ac:dyDescent="0.2">
      <c r="A23" t="str">
        <f ca="1"/>
        <v>National Aluminium Co</v>
      </c>
      <c r="B23" t="e" vm="103">
        <f ca="1"/>
        <v>#VALUE!</v>
      </c>
      <c r="C23" t="str">
        <f ca="1"/>
        <v>NSE</v>
      </c>
      <c r="D23" t="str">
        <f ca="1"/>
        <v>6.7/10</v>
      </c>
      <c r="E23">
        <f ca="1"/>
        <v>437.05</v>
      </c>
      <c r="F23">
        <f ca="1"/>
        <v>145</v>
      </c>
      <c r="G23">
        <f ca="1"/>
        <v>243</v>
      </c>
      <c r="H23">
        <f ca="1"/>
        <v>340</v>
      </c>
      <c r="I23">
        <f ca="1"/>
        <v>437</v>
      </c>
      <c r="J23">
        <f ca="1"/>
        <v>625</v>
      </c>
      <c r="K23">
        <f ca="1"/>
        <v>812</v>
      </c>
      <c r="L23">
        <f ca="1"/>
        <v>980</v>
      </c>
      <c r="M23" t="str">
        <f ca="1"/>
        <v>Overvalued / Sell</v>
      </c>
      <c r="N23">
        <f ca="1"/>
        <v>85.8</v>
      </c>
      <c r="O23" t="str">
        <f ca="1"/>
        <v>Low-cost aluminium producer; cost moat durable but commodity, no pricing power</v>
      </c>
    </row>
    <row r="24" spans="1:15" x14ac:dyDescent="0.2">
      <c r="A24" t="str">
        <f ca="1"/>
        <v>Kansai Nerolac Paints</v>
      </c>
      <c r="B24" t="e" vm="110">
        <f ca="1"/>
        <v>#VALUE!</v>
      </c>
      <c r="C24" t="str">
        <f ca="1"/>
        <v>NSE</v>
      </c>
      <c r="D24" t="str">
        <f ca="1"/>
        <v>5.8/10</v>
      </c>
      <c r="E24">
        <f ca="1"/>
        <v>197.15</v>
      </c>
      <c r="F24">
        <f ca="1"/>
        <v>100</v>
      </c>
      <c r="G24">
        <f ca="1"/>
        <v>130</v>
      </c>
      <c r="H24">
        <f ca="1"/>
        <v>160</v>
      </c>
      <c r="I24">
        <f ca="1"/>
        <v>195</v>
      </c>
      <c r="J24">
        <f ca="1"/>
        <v>114</v>
      </c>
      <c r="K24">
        <f ca="1"/>
        <v>156</v>
      </c>
      <c r="L24">
        <f ca="1"/>
        <v>190</v>
      </c>
      <c r="M24" t="str">
        <f ca="1"/>
        <v>Overvalued / Sell</v>
      </c>
      <c r="N24">
        <f ca="1"/>
        <v>-20.9</v>
      </c>
      <c r="O24" t="str">
        <f ca="1"/>
        <v>#3 paint co, 61% auto coatings share; declining ROCE 13%, normalised ROE ~9%, stagnant growth</v>
      </c>
    </row>
  </sheetData>
  <mergeCells count="2">
    <mergeCell ref="A1:O1"/>
    <mergeCell ref="A2:O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sheetPr>
  <dimension ref="A1:O10"/>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4" t="s">
        <v>344</v>
      </c>
      <c r="B1" s="34"/>
      <c r="C1" s="34"/>
      <c r="D1" s="34"/>
      <c r="E1" s="34"/>
      <c r="F1" s="34"/>
      <c r="G1" s="34"/>
      <c r="H1" s="34"/>
      <c r="I1" s="34"/>
      <c r="J1" s="34"/>
      <c r="K1" s="34"/>
      <c r="L1" s="34"/>
      <c r="M1" s="34"/>
      <c r="N1" s="34"/>
      <c r="O1" s="34"/>
    </row>
    <row r="2" spans="1:15" x14ac:dyDescent="0.2">
      <c r="A2" s="29" t="s">
        <v>345</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328</v>
      </c>
      <c r="G3" s="10" t="s">
        <v>329</v>
      </c>
      <c r="H3" s="10" t="s">
        <v>330</v>
      </c>
      <c r="I3" s="10" t="s">
        <v>331</v>
      </c>
      <c r="J3" s="10" t="s">
        <v>332</v>
      </c>
      <c r="K3" s="10" t="s">
        <v>333</v>
      </c>
      <c r="L3" s="10" t="s">
        <v>334</v>
      </c>
      <c r="M3" s="10" t="s">
        <v>47</v>
      </c>
      <c r="N3" s="10" t="s">
        <v>335</v>
      </c>
      <c r="O3" s="10" t="s">
        <v>49</v>
      </c>
    </row>
    <row r="4" spans="1:15" x14ac:dyDescent="0.2">
      <c r="A4" t="str" cm="1">
        <f t="array" aca="1" ref="A4:O10" ca="1">_xlfn._xlws.FILTER('All Companies'!B3:P114,'All Companies'!N3:N114="Weak Business","No companies in this zone currently - enter prices in All Companies sheet")</f>
        <v>Cupid Ltd</v>
      </c>
      <c r="B4" t="e" vm="23">
        <f ca="1"/>
        <v>#VALUE!</v>
      </c>
      <c r="C4" t="str">
        <f ca="1"/>
        <v>NSE</v>
      </c>
      <c r="D4" t="str">
        <f ca="1"/>
        <v>6.1/10</v>
      </c>
      <c r="E4">
        <f ca="1"/>
        <v>113.09</v>
      </c>
      <c r="F4">
        <f ca="1"/>
        <v>0</v>
      </c>
      <c r="G4">
        <f ca="1"/>
        <v>0</v>
      </c>
      <c r="H4">
        <f ca="1"/>
        <v>0</v>
      </c>
      <c r="I4">
        <f ca="1"/>
        <v>0</v>
      </c>
      <c r="J4">
        <f ca="1"/>
        <v>15</v>
      </c>
      <c r="K4">
        <f ca="1"/>
        <v>25</v>
      </c>
      <c r="L4">
        <f ca="1"/>
        <v>30</v>
      </c>
      <c r="M4" t="str">
        <f ca="1"/>
        <v>Weak Business</v>
      </c>
      <c r="N4">
        <f ca="1"/>
        <v>-77.900000000000006</v>
      </c>
      <c r="O4" t="str">
        <f ca="1"/>
        <v>WEAK BUSINESS: 123x PE, negative OCF, tender-dependent. Fails all Buffett criteria</v>
      </c>
    </row>
    <row r="5" spans="1:15" x14ac:dyDescent="0.2">
      <c r="A5" t="str">
        <f ca="1"/>
        <v>PTC India</v>
      </c>
      <c r="B5" t="e" vm="61">
        <f ca="1"/>
        <v>#VALUE!</v>
      </c>
      <c r="C5" t="str">
        <f ca="1"/>
        <v>NSE</v>
      </c>
      <c r="D5" t="str">
        <f ca="1"/>
        <v>4.9/10</v>
      </c>
      <c r="E5">
        <f ca="1"/>
        <v>183.65</v>
      </c>
      <c r="F5">
        <f ca="1"/>
        <v>89</v>
      </c>
      <c r="G5">
        <f ca="1"/>
        <v>118</v>
      </c>
      <c r="H5">
        <f ca="1"/>
        <v>167</v>
      </c>
      <c r="I5">
        <f ca="1"/>
        <v>207</v>
      </c>
      <c r="J5">
        <f ca="1"/>
        <v>107</v>
      </c>
      <c r="K5">
        <f ca="1"/>
        <v>157</v>
      </c>
      <c r="L5">
        <f ca="1"/>
        <v>251</v>
      </c>
      <c r="M5" t="str">
        <f ca="1"/>
        <v>Weak Business</v>
      </c>
      <c r="N5">
        <f ca="1"/>
        <v>-14.5</v>
      </c>
      <c r="O5" t="str">
        <f ca="1"/>
        <v>WEAK: Eroding intermediary moat; zero revenue growth for decade. 7.38% div yield</v>
      </c>
    </row>
    <row r="6" spans="1:15" x14ac:dyDescent="0.2">
      <c r="A6" t="str">
        <f ca="1"/>
        <v>SPML Infra</v>
      </c>
      <c r="B6" t="e" vm="69">
        <f ca="1"/>
        <v>#VALUE!</v>
      </c>
      <c r="C6" t="str">
        <f ca="1"/>
        <v>NSE</v>
      </c>
      <c r="D6" t="str">
        <f ca="1"/>
        <v>4.3/10</v>
      </c>
      <c r="E6">
        <f ca="1"/>
        <v>213.26</v>
      </c>
      <c r="F6">
        <f ca="1"/>
        <v>74</v>
      </c>
      <c r="G6">
        <f ca="1"/>
        <v>105</v>
      </c>
      <c r="H6">
        <f ca="1"/>
        <v>158</v>
      </c>
      <c r="I6">
        <f ca="1"/>
        <v>210</v>
      </c>
      <c r="J6">
        <f ca="1"/>
        <v>107</v>
      </c>
      <c r="K6">
        <f ca="1"/>
        <v>222</v>
      </c>
      <c r="L6">
        <f ca="1"/>
        <v>418</v>
      </c>
      <c r="M6" t="str">
        <f ca="1"/>
        <v>Weak Business</v>
      </c>
      <c r="N6">
        <f ca="1"/>
        <v>4.0999999999999996</v>
      </c>
      <c r="O6" t="str">
        <f ca="1"/>
        <v>WEAK: Commodity EPC, no moat, erratic cash flows, negative 10Y avg EPS</v>
      </c>
    </row>
    <row r="7" spans="1:15" x14ac:dyDescent="0.2">
      <c r="A7" t="str">
        <f ca="1"/>
        <v>SAIL</v>
      </c>
      <c r="B7" t="e" vm="71">
        <f ca="1"/>
        <v>#VALUE!</v>
      </c>
      <c r="C7" t="str">
        <f ca="1"/>
        <v>NSE</v>
      </c>
      <c r="D7" t="str">
        <f ca="1"/>
        <v>3.3/10</v>
      </c>
      <c r="E7">
        <f ca="1"/>
        <v>178.46</v>
      </c>
      <c r="F7">
        <f ca="1"/>
        <v>114</v>
      </c>
      <c r="G7">
        <f ca="1"/>
        <v>143</v>
      </c>
      <c r="H7">
        <f ca="1"/>
        <v>186</v>
      </c>
      <c r="I7">
        <f ca="1"/>
        <v>243</v>
      </c>
      <c r="J7">
        <f ca="1"/>
        <v>91</v>
      </c>
      <c r="K7">
        <f ca="1"/>
        <v>146</v>
      </c>
      <c r="L7">
        <f ca="1"/>
        <v>204</v>
      </c>
      <c r="M7" t="str">
        <f ca="1"/>
        <v>Weak Business</v>
      </c>
      <c r="N7">
        <f ca="1"/>
        <v>-18.2</v>
      </c>
      <c r="O7" t="str">
        <f ca="1"/>
        <v>WEAK: Commodity steel, 4-5% ROE destroys value. Zero growth, no moat</v>
      </c>
    </row>
    <row r="8" spans="1:15" x14ac:dyDescent="0.2">
      <c r="A8" t="str">
        <f ca="1"/>
        <v>Bharat Coking Coal</v>
      </c>
      <c r="B8" t="e" vm="92">
        <f ca="1"/>
        <v>#VALUE!</v>
      </c>
      <c r="C8" t="str">
        <f ca="1"/>
        <v>NSE</v>
      </c>
      <c r="D8" t="str">
        <f ca="1"/>
        <v>4.6/10</v>
      </c>
      <c r="E8">
        <f ca="1"/>
        <v>33.72</v>
      </c>
      <c r="F8">
        <f ca="1"/>
        <v>16.7</v>
      </c>
      <c r="G8">
        <f ca="1"/>
        <v>25</v>
      </c>
      <c r="H8">
        <f ca="1"/>
        <v>34.700000000000003</v>
      </c>
      <c r="I8">
        <f ca="1"/>
        <v>48.6</v>
      </c>
      <c r="J8">
        <f ca="1"/>
        <v>35.950000000000003</v>
      </c>
      <c r="K8">
        <f ca="1"/>
        <v>43.8</v>
      </c>
      <c r="L8">
        <f ca="1"/>
        <v>53.34</v>
      </c>
      <c r="M8" t="str">
        <f ca="1"/>
        <v>Weak Business</v>
      </c>
      <c r="N8">
        <f ca="1"/>
        <v>29.9</v>
      </c>
      <c r="O8" t="str">
        <f ca="1"/>
        <v>Dominant coking coal producer (~195yr reserves), debt-free; commodity cyclical, PSU governance, ESG headwinds</v>
      </c>
    </row>
    <row r="9" spans="1:15" x14ac:dyDescent="0.2">
      <c r="A9" t="str">
        <f ca="1"/>
        <v>Vedanta Ltd</v>
      </c>
      <c r="B9" t="e" vm="107">
        <f ca="1"/>
        <v>#VALUE!</v>
      </c>
      <c r="C9" t="str">
        <f ca="1"/>
        <v>NSE</v>
      </c>
      <c r="D9" t="str">
        <f ca="1"/>
        <v>4.8/10</v>
      </c>
      <c r="E9">
        <f ca="1"/>
        <v>720.95</v>
      </c>
      <c r="F9">
        <f ca="1"/>
        <v>350</v>
      </c>
      <c r="G9">
        <f ca="1"/>
        <v>500</v>
      </c>
      <c r="H9">
        <f ca="1"/>
        <v>700</v>
      </c>
      <c r="I9">
        <f ca="1"/>
        <v>850</v>
      </c>
      <c r="J9">
        <f ca="1"/>
        <v>648</v>
      </c>
      <c r="K9">
        <f ca="1"/>
        <v>835</v>
      </c>
      <c r="L9">
        <f ca="1"/>
        <v>1001</v>
      </c>
      <c r="M9" t="str">
        <f ca="1"/>
        <v>Weak Business</v>
      </c>
      <c r="N9">
        <f ca="1"/>
        <v>15.8</v>
      </c>
      <c r="O9" t="str">
        <f ca="1"/>
        <v>Commodity price-taker; D/E 2.2x, narrow moat. Demerger catalyst May 2026</v>
      </c>
    </row>
    <row r="10" spans="1:15" x14ac:dyDescent="0.2">
      <c r="A10" t="str">
        <f ca="1"/>
        <v>Shalimar Paints</v>
      </c>
      <c r="B10" t="e" vm="111">
        <f ca="1"/>
        <v>#VALUE!</v>
      </c>
      <c r="C10" t="str">
        <f ca="1"/>
        <v>NSE</v>
      </c>
      <c r="D10" t="str">
        <f ca="1"/>
        <v>1.8/10</v>
      </c>
      <c r="E10">
        <f ca="1"/>
        <v>50.1</v>
      </c>
      <c r="F10">
        <f ca="1"/>
        <v>7</v>
      </c>
      <c r="G10">
        <f ca="1"/>
        <v>17</v>
      </c>
      <c r="H10">
        <f ca="1"/>
        <v>25</v>
      </c>
      <c r="I10">
        <f ca="1"/>
        <v>35</v>
      </c>
      <c r="J10">
        <f ca="1"/>
        <v>0</v>
      </c>
      <c r="K10">
        <f ca="1"/>
        <v>0</v>
      </c>
      <c r="L10">
        <f ca="1"/>
        <v>7</v>
      </c>
      <c r="M10" t="str">
        <f ca="1"/>
        <v>Weak Business</v>
      </c>
      <c r="N10">
        <f ca="1"/>
        <v>-100</v>
      </c>
      <c r="O10" t="str">
        <f ca="1"/>
        <v>Chronically loss-making (&lt;1% share); -23% ROE, eroding equity, 70.5% promoter pledge. Value trap</v>
      </c>
    </row>
  </sheetData>
  <mergeCells count="2">
    <mergeCell ref="A1:O1"/>
    <mergeCell ref="A2:O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B59B6"/>
  </sheetPr>
  <dimension ref="B1:D75"/>
  <sheetViews>
    <sheetView showGridLines="0" workbookViewId="0"/>
  </sheetViews>
  <sheetFormatPr baseColWidth="10" defaultColWidth="8.83203125" defaultRowHeight="15" x14ac:dyDescent="0.2"/>
  <cols>
    <col min="1" max="1" width="5.6640625" customWidth="1"/>
    <col min="2" max="2" width="30.6640625" customWidth="1"/>
    <col min="3" max="3" width="18.6640625" customWidth="1"/>
    <col min="4" max="4" width="40.6640625" customWidth="1"/>
  </cols>
  <sheetData>
    <row r="1" spans="2:4" ht="19" x14ac:dyDescent="0.25">
      <c r="B1" s="35" t="s">
        <v>346</v>
      </c>
      <c r="C1" s="35"/>
      <c r="D1" s="35"/>
    </row>
    <row r="3" spans="2:4" ht="16" x14ac:dyDescent="0.2">
      <c r="B3" s="10" t="s">
        <v>347</v>
      </c>
      <c r="C3" s="10" t="s">
        <v>348</v>
      </c>
      <c r="D3" s="10" t="s">
        <v>349</v>
      </c>
    </row>
    <row r="4" spans="2:4" ht="19" x14ac:dyDescent="0.2">
      <c r="B4" s="1" t="s">
        <v>3</v>
      </c>
      <c r="C4" s="19">
        <f ca="1">COUNTIF('All Companies'!N3:N114,"Deep Value / Strong Buy")</f>
        <v>1</v>
      </c>
      <c r="D4" s="2" t="s">
        <v>350</v>
      </c>
    </row>
    <row r="5" spans="2:4" ht="19" x14ac:dyDescent="0.2">
      <c r="B5" s="3" t="s">
        <v>5</v>
      </c>
      <c r="C5" s="19">
        <f ca="1">COUNTIF('All Companies'!N3:N114,"Value / Buy")</f>
        <v>10</v>
      </c>
      <c r="D5" s="2" t="s">
        <v>351</v>
      </c>
    </row>
    <row r="6" spans="2:4" ht="19" x14ac:dyDescent="0.2">
      <c r="B6" s="4" t="s">
        <v>7</v>
      </c>
      <c r="C6" s="19">
        <f ca="1">COUNTIF('All Companies'!N3:N114,"Fair Value / Hold")</f>
        <v>42</v>
      </c>
      <c r="D6" s="2" t="s">
        <v>352</v>
      </c>
    </row>
    <row r="7" spans="2:4" ht="19" x14ac:dyDescent="0.2">
      <c r="B7" s="5" t="s">
        <v>9</v>
      </c>
      <c r="C7" s="19">
        <f ca="1">COUNTIF('All Companies'!N3:N114,"Fully Valued / Trim")</f>
        <v>31</v>
      </c>
      <c r="D7" s="2" t="s">
        <v>353</v>
      </c>
    </row>
    <row r="8" spans="2:4" ht="19" x14ac:dyDescent="0.2">
      <c r="B8" s="6" t="s">
        <v>11</v>
      </c>
      <c r="C8" s="19">
        <f ca="1">COUNTIF('All Companies'!N3:N114,"Overvalued / Sell")</f>
        <v>21</v>
      </c>
      <c r="D8" s="2" t="s">
        <v>354</v>
      </c>
    </row>
    <row r="9" spans="2:4" ht="19" x14ac:dyDescent="0.2">
      <c r="B9" s="7" t="s">
        <v>116</v>
      </c>
      <c r="C9" s="19">
        <f ca="1">COUNTIF('All Companies'!N3:N114,"Weak Business")</f>
        <v>7</v>
      </c>
      <c r="D9" s="2" t="s">
        <v>355</v>
      </c>
    </row>
    <row r="10" spans="2:4" ht="19" x14ac:dyDescent="0.2">
      <c r="B10" s="20" t="s">
        <v>356</v>
      </c>
      <c r="C10" s="19">
        <f ca="1">COUNTIF('All Companies'!N3:N114,"Enter Price")</f>
        <v>0</v>
      </c>
      <c r="D10" s="2" t="s">
        <v>357</v>
      </c>
    </row>
    <row r="11" spans="2:4" ht="19" x14ac:dyDescent="0.2">
      <c r="B11" s="8" t="s">
        <v>358</v>
      </c>
      <c r="C11" s="19">
        <f ca="1">SUM(C4:C10)</f>
        <v>112</v>
      </c>
    </row>
    <row r="13" spans="2:4" ht="17" x14ac:dyDescent="0.2">
      <c r="B13" s="25" t="s">
        <v>359</v>
      </c>
      <c r="C13" s="25"/>
      <c r="D13" s="25"/>
    </row>
    <row r="14" spans="2:4" ht="16" x14ac:dyDescent="0.2">
      <c r="B14" s="10" t="s">
        <v>360</v>
      </c>
      <c r="C14" s="10" t="s">
        <v>38</v>
      </c>
      <c r="D14" s="10" t="s">
        <v>361</v>
      </c>
    </row>
    <row r="15" spans="2:4" ht="32" x14ac:dyDescent="0.2">
      <c r="B15" s="21" t="s">
        <v>268</v>
      </c>
      <c r="C15" s="22" t="s">
        <v>269</v>
      </c>
      <c r="D15" s="2" t="s">
        <v>362</v>
      </c>
    </row>
    <row r="16" spans="2:4" ht="32" x14ac:dyDescent="0.2">
      <c r="B16" s="21" t="s">
        <v>253</v>
      </c>
      <c r="C16" s="22" t="s">
        <v>255</v>
      </c>
      <c r="D16" s="2" t="s">
        <v>363</v>
      </c>
    </row>
    <row r="17" spans="2:4" ht="32" x14ac:dyDescent="0.2">
      <c r="B17" s="21" t="s">
        <v>260</v>
      </c>
      <c r="C17" s="22" t="s">
        <v>220</v>
      </c>
      <c r="D17" s="2" t="s">
        <v>364</v>
      </c>
    </row>
    <row r="18" spans="2:4" ht="32" x14ac:dyDescent="0.2">
      <c r="B18" s="21" t="s">
        <v>266</v>
      </c>
      <c r="C18" s="22" t="s">
        <v>220</v>
      </c>
      <c r="D18" s="2" t="s">
        <v>267</v>
      </c>
    </row>
    <row r="19" spans="2:4" ht="32" x14ac:dyDescent="0.2">
      <c r="B19" s="21" t="s">
        <v>219</v>
      </c>
      <c r="C19" s="22" t="s">
        <v>220</v>
      </c>
      <c r="D19" s="2" t="s">
        <v>221</v>
      </c>
    </row>
    <row r="20" spans="2:4" ht="32" x14ac:dyDescent="0.2">
      <c r="B20" s="21" t="s">
        <v>87</v>
      </c>
      <c r="C20" s="22" t="s">
        <v>88</v>
      </c>
      <c r="D20" s="2" t="s">
        <v>365</v>
      </c>
    </row>
    <row r="21" spans="2:4" ht="32" x14ac:dyDescent="0.2">
      <c r="B21" s="21" t="s">
        <v>157</v>
      </c>
      <c r="C21" s="22" t="s">
        <v>158</v>
      </c>
      <c r="D21" s="2" t="s">
        <v>366</v>
      </c>
    </row>
    <row r="22" spans="2:4" ht="32" x14ac:dyDescent="0.2">
      <c r="B22" s="21" t="s">
        <v>197</v>
      </c>
      <c r="C22" s="22" t="s">
        <v>158</v>
      </c>
      <c r="D22" s="2" t="s">
        <v>367</v>
      </c>
    </row>
    <row r="23" spans="2:4" ht="32" x14ac:dyDescent="0.2">
      <c r="B23" s="21" t="s">
        <v>257</v>
      </c>
      <c r="C23" s="22" t="s">
        <v>258</v>
      </c>
      <c r="D23" s="2" t="s">
        <v>368</v>
      </c>
    </row>
    <row r="24" spans="2:4" ht="32" x14ac:dyDescent="0.2">
      <c r="B24" s="21" t="s">
        <v>262</v>
      </c>
      <c r="C24" s="22" t="s">
        <v>258</v>
      </c>
      <c r="D24" s="2" t="s">
        <v>263</v>
      </c>
    </row>
    <row r="25" spans="2:4" ht="32" x14ac:dyDescent="0.2">
      <c r="B25" s="21" t="s">
        <v>304</v>
      </c>
      <c r="C25" s="22" t="s">
        <v>258</v>
      </c>
      <c r="D25" s="2" t="s">
        <v>305</v>
      </c>
    </row>
    <row r="26" spans="2:4" ht="32" x14ac:dyDescent="0.2">
      <c r="B26" s="21" t="s">
        <v>99</v>
      </c>
      <c r="C26" s="22" t="s">
        <v>100</v>
      </c>
      <c r="D26" s="2" t="s">
        <v>101</v>
      </c>
    </row>
    <row r="27" spans="2:4" ht="32" x14ac:dyDescent="0.2">
      <c r="B27" s="21" t="s">
        <v>150</v>
      </c>
      <c r="C27" s="22" t="s">
        <v>100</v>
      </c>
      <c r="D27" s="2" t="s">
        <v>369</v>
      </c>
    </row>
    <row r="28" spans="2:4" ht="32" x14ac:dyDescent="0.2">
      <c r="B28" s="21" t="s">
        <v>295</v>
      </c>
      <c r="C28" s="22" t="s">
        <v>100</v>
      </c>
      <c r="D28" s="2" t="s">
        <v>296</v>
      </c>
    </row>
    <row r="29" spans="2:4" ht="32" x14ac:dyDescent="0.2">
      <c r="B29" s="21" t="s">
        <v>281</v>
      </c>
      <c r="C29" s="22" t="s">
        <v>129</v>
      </c>
      <c r="D29" s="2" t="s">
        <v>282</v>
      </c>
    </row>
    <row r="30" spans="2:4" ht="32" x14ac:dyDescent="0.2">
      <c r="B30" s="21" t="s">
        <v>128</v>
      </c>
      <c r="C30" s="22" t="s">
        <v>129</v>
      </c>
      <c r="D30" s="2" t="s">
        <v>370</v>
      </c>
    </row>
    <row r="31" spans="2:4" ht="32" x14ac:dyDescent="0.2">
      <c r="B31" s="21" t="s">
        <v>287</v>
      </c>
      <c r="C31" s="22" t="s">
        <v>129</v>
      </c>
      <c r="D31" s="2" t="s">
        <v>288</v>
      </c>
    </row>
    <row r="32" spans="2:4" ht="32" x14ac:dyDescent="0.2">
      <c r="B32" s="21" t="s">
        <v>276</v>
      </c>
      <c r="C32" s="22" t="s">
        <v>112</v>
      </c>
      <c r="D32" s="2" t="s">
        <v>277</v>
      </c>
    </row>
    <row r="33" spans="2:4" ht="32" x14ac:dyDescent="0.2">
      <c r="B33" s="21" t="s">
        <v>111</v>
      </c>
      <c r="C33" s="22" t="s">
        <v>112</v>
      </c>
      <c r="D33" s="2" t="s">
        <v>371</v>
      </c>
    </row>
    <row r="34" spans="2:4" ht="32" x14ac:dyDescent="0.2">
      <c r="B34" s="21" t="s">
        <v>213</v>
      </c>
      <c r="C34" s="22" t="s">
        <v>112</v>
      </c>
      <c r="D34" s="2" t="s">
        <v>214</v>
      </c>
    </row>
    <row r="35" spans="2:4" ht="16" x14ac:dyDescent="0.2">
      <c r="B35" s="21" t="s">
        <v>249</v>
      </c>
      <c r="C35" s="22" t="s">
        <v>112</v>
      </c>
      <c r="D35" s="2" t="s">
        <v>372</v>
      </c>
    </row>
    <row r="36" spans="2:4" ht="32" x14ac:dyDescent="0.2">
      <c r="B36" s="21" t="s">
        <v>309</v>
      </c>
      <c r="C36" s="22" t="s">
        <v>112</v>
      </c>
      <c r="D36" s="2" t="s">
        <v>373</v>
      </c>
    </row>
    <row r="37" spans="2:4" ht="16" x14ac:dyDescent="0.2">
      <c r="B37" s="21" t="s">
        <v>138</v>
      </c>
      <c r="C37" s="22" t="s">
        <v>139</v>
      </c>
      <c r="D37" s="2" t="s">
        <v>374</v>
      </c>
    </row>
    <row r="38" spans="2:4" ht="32" x14ac:dyDescent="0.2">
      <c r="B38" s="21" t="s">
        <v>285</v>
      </c>
      <c r="C38" s="22" t="s">
        <v>139</v>
      </c>
      <c r="D38" s="2" t="s">
        <v>286</v>
      </c>
    </row>
    <row r="39" spans="2:4" ht="32" x14ac:dyDescent="0.2">
      <c r="B39" s="21" t="s">
        <v>148</v>
      </c>
      <c r="C39" s="22" t="s">
        <v>139</v>
      </c>
      <c r="D39" s="2" t="s">
        <v>375</v>
      </c>
    </row>
    <row r="40" spans="2:4" ht="32" x14ac:dyDescent="0.2">
      <c r="B40" s="21" t="s">
        <v>165</v>
      </c>
      <c r="C40" s="22" t="s">
        <v>139</v>
      </c>
      <c r="D40" s="2" t="s">
        <v>376</v>
      </c>
    </row>
    <row r="41" spans="2:4" ht="32" x14ac:dyDescent="0.2">
      <c r="B41" s="21" t="s">
        <v>177</v>
      </c>
      <c r="C41" s="22" t="s">
        <v>139</v>
      </c>
      <c r="D41" s="2" t="s">
        <v>377</v>
      </c>
    </row>
    <row r="42" spans="2:4" ht="16" x14ac:dyDescent="0.2">
      <c r="B42" s="21" t="s">
        <v>73</v>
      </c>
      <c r="C42" s="22" t="s">
        <v>74</v>
      </c>
      <c r="D42" s="2" t="s">
        <v>378</v>
      </c>
    </row>
    <row r="43" spans="2:4" ht="32" x14ac:dyDescent="0.2">
      <c r="B43" s="21" t="s">
        <v>141</v>
      </c>
      <c r="C43" s="22" t="s">
        <v>74</v>
      </c>
      <c r="D43" s="2" t="s">
        <v>379</v>
      </c>
    </row>
    <row r="44" spans="2:4" ht="32" x14ac:dyDescent="0.2">
      <c r="B44" s="21" t="s">
        <v>167</v>
      </c>
      <c r="C44" s="22" t="s">
        <v>74</v>
      </c>
      <c r="D44" s="2" t="s">
        <v>380</v>
      </c>
    </row>
    <row r="45" spans="2:4" ht="32" x14ac:dyDescent="0.2">
      <c r="B45" s="21" t="s">
        <v>181</v>
      </c>
      <c r="C45" s="22" t="s">
        <v>74</v>
      </c>
      <c r="D45" s="2" t="s">
        <v>182</v>
      </c>
    </row>
    <row r="46" spans="2:4" ht="32" x14ac:dyDescent="0.2">
      <c r="B46" s="21" t="s">
        <v>211</v>
      </c>
      <c r="C46" s="22" t="s">
        <v>74</v>
      </c>
      <c r="D46" s="2" t="s">
        <v>212</v>
      </c>
    </row>
    <row r="47" spans="2:4" ht="16" x14ac:dyDescent="0.2">
      <c r="B47" s="21" t="s">
        <v>245</v>
      </c>
      <c r="C47" s="22" t="s">
        <v>74</v>
      </c>
      <c r="D47" s="2" t="s">
        <v>381</v>
      </c>
    </row>
    <row r="48" spans="2:4" ht="32" x14ac:dyDescent="0.2">
      <c r="B48" s="21" t="s">
        <v>90</v>
      </c>
      <c r="C48" s="22" t="s">
        <v>91</v>
      </c>
      <c r="D48" s="2" t="s">
        <v>92</v>
      </c>
    </row>
    <row r="49" spans="2:4" ht="32" x14ac:dyDescent="0.2">
      <c r="B49" s="21" t="s">
        <v>124</v>
      </c>
      <c r="C49" s="22" t="s">
        <v>91</v>
      </c>
      <c r="D49" s="2" t="s">
        <v>382</v>
      </c>
    </row>
    <row r="50" spans="2:4" ht="32" x14ac:dyDescent="0.2">
      <c r="B50" s="21" t="s">
        <v>154</v>
      </c>
      <c r="C50" s="22" t="s">
        <v>155</v>
      </c>
      <c r="D50" s="2" t="s">
        <v>383</v>
      </c>
    </row>
    <row r="51" spans="2:4" ht="32" x14ac:dyDescent="0.2">
      <c r="B51" s="21" t="s">
        <v>179</v>
      </c>
      <c r="C51" s="22" t="s">
        <v>155</v>
      </c>
      <c r="D51" s="2" t="s">
        <v>180</v>
      </c>
    </row>
    <row r="52" spans="2:4" ht="32" x14ac:dyDescent="0.2">
      <c r="B52" s="21" t="s">
        <v>192</v>
      </c>
      <c r="C52" s="22" t="s">
        <v>155</v>
      </c>
      <c r="D52" s="2" t="s">
        <v>193</v>
      </c>
    </row>
    <row r="53" spans="2:4" ht="32" x14ac:dyDescent="0.2">
      <c r="B53" s="21" t="s">
        <v>217</v>
      </c>
      <c r="C53" s="22" t="s">
        <v>155</v>
      </c>
      <c r="D53" s="2" t="s">
        <v>218</v>
      </c>
    </row>
    <row r="54" spans="2:4" ht="16" x14ac:dyDescent="0.2">
      <c r="B54" s="21" t="s">
        <v>247</v>
      </c>
      <c r="C54" s="22" t="s">
        <v>155</v>
      </c>
      <c r="D54" s="2" t="s">
        <v>384</v>
      </c>
    </row>
    <row r="55" spans="2:4" ht="32" x14ac:dyDescent="0.2">
      <c r="B55" s="21" t="s">
        <v>274</v>
      </c>
      <c r="C55" s="22" t="s">
        <v>103</v>
      </c>
      <c r="D55" s="2" t="s">
        <v>385</v>
      </c>
    </row>
    <row r="56" spans="2:4" ht="16" x14ac:dyDescent="0.2">
      <c r="B56" s="21" t="s">
        <v>102</v>
      </c>
      <c r="C56" s="22" t="s">
        <v>103</v>
      </c>
      <c r="D56" s="2" t="s">
        <v>386</v>
      </c>
    </row>
    <row r="57" spans="2:4" ht="32" x14ac:dyDescent="0.2">
      <c r="B57" s="21" t="s">
        <v>143</v>
      </c>
      <c r="C57" s="22" t="s">
        <v>103</v>
      </c>
      <c r="D57" s="2" t="s">
        <v>387</v>
      </c>
    </row>
    <row r="58" spans="2:4" ht="32" x14ac:dyDescent="0.2">
      <c r="B58" s="21" t="s">
        <v>264</v>
      </c>
      <c r="C58" s="22" t="s">
        <v>103</v>
      </c>
      <c r="D58" s="2" t="s">
        <v>388</v>
      </c>
    </row>
    <row r="59" spans="2:4" ht="32" x14ac:dyDescent="0.2">
      <c r="B59" s="21" t="s">
        <v>233</v>
      </c>
      <c r="C59" s="22" t="s">
        <v>103</v>
      </c>
      <c r="D59" s="2" t="s">
        <v>234</v>
      </c>
    </row>
    <row r="60" spans="2:4" ht="32" x14ac:dyDescent="0.2">
      <c r="B60" s="21" t="s">
        <v>237</v>
      </c>
      <c r="C60" s="22" t="s">
        <v>103</v>
      </c>
      <c r="D60" s="2" t="s">
        <v>238</v>
      </c>
    </row>
    <row r="61" spans="2:4" ht="32" x14ac:dyDescent="0.2">
      <c r="B61" s="21" t="s">
        <v>251</v>
      </c>
      <c r="C61" s="22" t="s">
        <v>103</v>
      </c>
      <c r="D61" s="2" t="s">
        <v>389</v>
      </c>
    </row>
    <row r="62" spans="2:4" ht="32" x14ac:dyDescent="0.2">
      <c r="B62" s="21" t="s">
        <v>76</v>
      </c>
      <c r="C62" s="22" t="s">
        <v>77</v>
      </c>
      <c r="D62" s="2" t="s">
        <v>78</v>
      </c>
    </row>
    <row r="63" spans="2:4" ht="32" x14ac:dyDescent="0.2">
      <c r="B63" s="21" t="s">
        <v>107</v>
      </c>
      <c r="C63" s="22" t="s">
        <v>77</v>
      </c>
      <c r="D63" s="2" t="s">
        <v>390</v>
      </c>
    </row>
    <row r="64" spans="2:4" ht="16" x14ac:dyDescent="0.2">
      <c r="B64" s="21" t="s">
        <v>109</v>
      </c>
      <c r="C64" s="22" t="s">
        <v>77</v>
      </c>
      <c r="D64" s="2" t="s">
        <v>391</v>
      </c>
    </row>
    <row r="65" spans="2:4" ht="32" x14ac:dyDescent="0.2">
      <c r="B65" s="21" t="s">
        <v>126</v>
      </c>
      <c r="C65" s="22" t="s">
        <v>77</v>
      </c>
      <c r="D65" s="2" t="s">
        <v>392</v>
      </c>
    </row>
    <row r="66" spans="2:4" ht="32" x14ac:dyDescent="0.2">
      <c r="B66" s="21" t="s">
        <v>185</v>
      </c>
      <c r="C66" s="22" t="s">
        <v>77</v>
      </c>
      <c r="D66" s="2" t="s">
        <v>186</v>
      </c>
    </row>
    <row r="67" spans="2:4" ht="16" x14ac:dyDescent="0.2">
      <c r="B67" s="21" t="s">
        <v>204</v>
      </c>
      <c r="C67" s="22" t="s">
        <v>77</v>
      </c>
      <c r="D67" s="2" t="s">
        <v>393</v>
      </c>
    </row>
    <row r="68" spans="2:4" ht="32" x14ac:dyDescent="0.2">
      <c r="B68" s="21" t="s">
        <v>324</v>
      </c>
      <c r="C68" s="22" t="s">
        <v>94</v>
      </c>
      <c r="D68" s="2" t="s">
        <v>394</v>
      </c>
    </row>
    <row r="69" spans="2:4" ht="16" x14ac:dyDescent="0.2">
      <c r="B69" s="21" t="s">
        <v>93</v>
      </c>
      <c r="C69" s="22" t="s">
        <v>94</v>
      </c>
      <c r="D69" s="2" t="s">
        <v>395</v>
      </c>
    </row>
    <row r="70" spans="2:4" ht="16" x14ac:dyDescent="0.2">
      <c r="B70" s="21" t="s">
        <v>291</v>
      </c>
      <c r="C70" s="22" t="s">
        <v>94</v>
      </c>
      <c r="D70" s="2" t="s">
        <v>396</v>
      </c>
    </row>
    <row r="71" spans="2:4" ht="16" x14ac:dyDescent="0.2">
      <c r="B71" s="21" t="s">
        <v>61</v>
      </c>
      <c r="C71" s="22" t="s">
        <v>62</v>
      </c>
      <c r="D71" s="2" t="s">
        <v>397</v>
      </c>
    </row>
    <row r="72" spans="2:4" ht="32" x14ac:dyDescent="0.2">
      <c r="B72" s="21" t="s">
        <v>133</v>
      </c>
      <c r="C72" s="22" t="s">
        <v>62</v>
      </c>
      <c r="D72" s="2" t="s">
        <v>398</v>
      </c>
    </row>
    <row r="73" spans="2:4" ht="32" x14ac:dyDescent="0.2">
      <c r="B73" s="21" t="s">
        <v>283</v>
      </c>
      <c r="C73" s="22" t="s">
        <v>175</v>
      </c>
      <c r="D73" s="2" t="s">
        <v>284</v>
      </c>
    </row>
    <row r="74" spans="2:4" ht="32" x14ac:dyDescent="0.2">
      <c r="B74" s="21" t="s">
        <v>174</v>
      </c>
      <c r="C74" s="22" t="s">
        <v>175</v>
      </c>
      <c r="D74" s="2" t="s">
        <v>176</v>
      </c>
    </row>
    <row r="75" spans="2:4" ht="32" x14ac:dyDescent="0.2">
      <c r="B75" s="21" t="s">
        <v>189</v>
      </c>
      <c r="C75" s="22" t="s">
        <v>190</v>
      </c>
      <c r="D75" s="2" t="s">
        <v>191</v>
      </c>
    </row>
  </sheetData>
  <mergeCells count="2">
    <mergeCell ref="B1:D1"/>
    <mergeCell ref="B13:D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Legend &amp; Instructions</vt:lpstr>
      <vt:lpstr>All Companies</vt:lpstr>
      <vt:lpstr>Deep Value - Strong Buy</vt:lpstr>
      <vt:lpstr>Value - Buy</vt:lpstr>
      <vt:lpstr>Fair Value - Hold</vt:lpstr>
      <vt:lpstr>Fully Valued - Trim</vt:lpstr>
      <vt:lpstr>Overvalued - Sell</vt:lpstr>
      <vt:lpstr>Weak Business</vt:lpstr>
      <vt:lpstr>Summary 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Naman Bung</cp:lastModifiedBy>
  <dcterms:created xsi:type="dcterms:W3CDTF">2026-04-24T12:37:24Z</dcterms:created>
  <dcterms:modified xsi:type="dcterms:W3CDTF">2026-04-24T12:46:12Z</dcterms:modified>
</cp:coreProperties>
</file>